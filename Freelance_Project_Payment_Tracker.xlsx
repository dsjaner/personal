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  <sheet name="Settings" sheetId="3" state="visible" r:id="rId5"/>
    <sheet name="How to Use" sheetId="4" state="visible" r:id="rId6"/>
  </sheets>
  <definedNames>
    <definedName function="false" hidden="true" localSheetId="0" name="_xlnm._FilterDatabase" vbProcedure="false">Tracker!$A$4:$Q$204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Leave blank to use the category's terms from Settings. Type a number (e.g., 45) if this client agreed different terms.</t>
        </r>
      </text>
    </comment>
    <comment ref="O4" authorId="0">
      <text>
        <r>
          <rPr>
            <sz val="10"/>
            <rFont val="Arial"/>
            <family val="2"/>
          </rPr>
          <t xml:space="preserve">Positive = days left before due date. Negative = days overdue. Blank once fully paid.</t>
        </r>
      </text>
    </comment>
    <comment ref="P4" authorId="0">
      <text>
        <r>
          <rPr>
            <sz val="10"/>
            <rFont val="Arial"/>
            <family val="2"/>
          </rPr>
          <t xml:space="preserve">Days from project/event date to the date you were fully paid.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Sample terms only (e.g., Net 15 / Net 30). Replace with what you actually agree with your clients.</t>
        </r>
      </text>
    </comment>
    <comment ref="F5" authorId="0">
      <text>
        <r>
          <rPr>
            <sz val="10"/>
            <rFont val="Arial"/>
            <family val="2"/>
          </rPr>
          <t xml:space="preserve">Used when a project's category has no payment terms set. Assumption — change to your usual terms.</t>
        </r>
      </text>
    </comment>
    <comment ref="F6" authorId="0">
      <text>
        <r>
          <rPr>
            <sz val="10"/>
            <rFont val="Arial"/>
            <family val="2"/>
          </rPr>
          <t xml:space="preserve">Unpaid projects due within this many days are flagged 'Due Soon'.</t>
        </r>
      </text>
    </comment>
  </commentList>
</comments>
</file>

<file path=xl/sharedStrings.xml><?xml version="1.0" encoding="utf-8"?>
<sst xmlns="http://schemas.openxmlformats.org/spreadsheetml/2006/main" count="110" uniqueCount="101">
  <si>
    <t xml:space="preserve">Freelance Project &amp; Payment Tracker</t>
  </si>
  <si>
    <t xml:space="preserve">Fill in the YELLOW columns only. Grey columns compute automatically. Payment Due Date = Project/Event Date + payment terms (from the category in Settings, or your Custom Terms).</t>
  </si>
  <si>
    <t xml:space="preserve">Today:</t>
  </si>
  <si>
    <t xml:space="preserve">No.</t>
  </si>
  <si>
    <t xml:space="preserve">Project / Event</t>
  </si>
  <si>
    <t xml:space="preserve">Client</t>
  </si>
  <si>
    <t xml:space="preserve">Category</t>
  </si>
  <si>
    <t xml:space="preserve">Project / Event Date</t>
  </si>
  <si>
    <t xml:space="preserve">Custom Terms (days)
optional</t>
  </si>
  <si>
    <t xml:space="preserve">Terms Used (days)</t>
  </si>
  <si>
    <t xml:space="preserve">Payment Due Date</t>
  </si>
  <si>
    <t xml:space="preserve">Amount Billed (₱)</t>
  </si>
  <si>
    <t xml:space="preserve">Invoice Sent Date</t>
  </si>
  <si>
    <t xml:space="preserve">Amount Received (₱)</t>
  </si>
  <si>
    <t xml:space="preserve">Date Paid (latest)</t>
  </si>
  <si>
    <t xml:space="preserve">Balance (₱)</t>
  </si>
  <si>
    <t xml:space="preserve">Payment Status</t>
  </si>
  <si>
    <t xml:space="preserve">Days Left / Overdue</t>
  </si>
  <si>
    <t xml:space="preserve">Days to Get Paid</t>
  </si>
  <si>
    <t xml:space="preserve">Notes</t>
  </si>
  <si>
    <t xml:space="preserve">Climate forum emcee (SAMPLE)</t>
  </si>
  <si>
    <t xml:space="preserve">Green Futures PH</t>
  </si>
  <si>
    <t xml:space="preserve">Event Hosting / Emcee</t>
  </si>
  <si>
    <t xml:space="preserve">Sample row — delete or overwrite</t>
  </si>
  <si>
    <t xml:space="preserve">NbS policy brief (SAMPLE)</t>
  </si>
  <si>
    <t xml:space="preserve">ABC Foundation</t>
  </si>
  <si>
    <t xml:space="preserve">Research / Writing</t>
  </si>
  <si>
    <t xml:space="preserve">50% downpayment received — sample</t>
  </si>
  <si>
    <t xml:space="preserve">Resource speaker, LGU training (SAMPLE)</t>
  </si>
  <si>
    <t xml:space="preserve">Provincial Gov't</t>
  </si>
  <si>
    <t xml:space="preserve">Speaking / Resource Person</t>
  </si>
  <si>
    <t xml:space="preserve">Mangrove restoration advisory (SAMPLE)</t>
  </si>
  <si>
    <t xml:space="preserve">XYZ Corp</t>
  </si>
  <si>
    <t xml:space="preserve">Consulting / Advisory</t>
  </si>
  <si>
    <t xml:space="preserve">Client asked for Net 45 — sample</t>
  </si>
  <si>
    <t xml:space="preserve">Payment Summary</t>
  </si>
  <si>
    <t xml:space="preserve">Everything here is automatic — computed from the Tracker sheet.</t>
  </si>
  <si>
    <t xml:space="preserve">As of:</t>
  </si>
  <si>
    <t xml:space="preserve">Total Billed</t>
  </si>
  <si>
    <t xml:space="preserve">Total Received</t>
  </si>
  <si>
    <t xml:space="preserve">Outstanding Balance</t>
  </si>
  <si>
    <t xml:space="preserve">Overdue Amount</t>
  </si>
  <si>
    <t xml:space="preserve">By Category</t>
  </si>
  <si>
    <t xml:space="preserve">By Payment Status</t>
  </si>
  <si>
    <t xml:space="preserve">No. of Projects</t>
  </si>
  <si>
    <t xml:space="preserve">Billed (₱)</t>
  </si>
  <si>
    <t xml:space="preserve">Received (₱)</t>
  </si>
  <si>
    <t xml:space="preserve">Outstanding (₱)</t>
  </si>
  <si>
    <t xml:space="preserve">Overdue (₱)</t>
  </si>
  <si>
    <t xml:space="preserve">No. Overdue</t>
  </si>
  <si>
    <t xml:space="preserve">Avg Days to Get Paid</t>
  </si>
  <si>
    <t xml:space="preserve">Status</t>
  </si>
  <si>
    <t xml:space="preserve">Overdue</t>
  </si>
  <si>
    <t xml:space="preserve">Due Soon</t>
  </si>
  <si>
    <t xml:space="preserve">Partially Paid</t>
  </si>
  <si>
    <t xml:space="preserve">Not Yet Due</t>
  </si>
  <si>
    <t xml:space="preserve">Paid</t>
  </si>
  <si>
    <t xml:space="preserve">TOTAL</t>
  </si>
  <si>
    <t xml:space="preserve">Note: the total excludes projects with a blank or unlisted category.</t>
  </si>
  <si>
    <t xml:space="preserve">Settings — Categories &amp; Payment Terms</t>
  </si>
  <si>
    <t xml:space="preserve">Yellow cells are editable. Payment terms = number of days after the project/event date when payment is due.</t>
  </si>
  <si>
    <t xml:space="preserve">Payment Terms (days)</t>
  </si>
  <si>
    <t xml:space="preserve">Description / Notes</t>
  </si>
  <si>
    <t xml:space="preserve">General Settings</t>
  </si>
  <si>
    <t xml:space="preserve">Strategy, technical advice, retainers</t>
  </si>
  <si>
    <t xml:space="preserve">Default payment terms (days)</t>
  </si>
  <si>
    <t xml:space="preserve">Hosting, facilitation, emcee gigs</t>
  </si>
  <si>
    <t xml:space="preserve">"Due Soon" warning window (days)</t>
  </si>
  <si>
    <t xml:space="preserve">Talks, panels, resource speaker honoraria</t>
  </si>
  <si>
    <t xml:space="preserve">Today's date (auto)</t>
  </si>
  <si>
    <t xml:space="preserve">Training / Workshop</t>
  </si>
  <si>
    <t xml:space="preserve">Trainings, capacity-building sessions</t>
  </si>
  <si>
    <t xml:space="preserve">Reports, studies, articles, proposals</t>
  </si>
  <si>
    <t xml:space="preserve">Design / Creative</t>
  </si>
  <si>
    <t xml:space="preserve">Layout, graphics, photo/video</t>
  </si>
  <si>
    <t xml:space="preserve">Other</t>
  </si>
  <si>
    <t xml:space="preserve">Anything that doesn't fit above</t>
  </si>
  <si>
    <t xml:space="preserve">Add more categories in the blank yellow rows above (up to row 24).</t>
  </si>
  <si>
    <t xml:space="preserve">How to Use This Tracker</t>
  </si>
  <si>
    <t xml:space="preserve">1. Set up categories</t>
  </si>
  <si>
    <t xml:space="preserve">Go to Settings. Edit the category names and the payment terms (days) for each. Example: Speaking = 15 days means payment is due 15 days after the event date.</t>
  </si>
  <si>
    <t xml:space="preserve">2. Log each project/event</t>
  </si>
  <si>
    <t xml:space="preserve">In Tracker, fill in a new row: Project/Event, Client, Category (dropdown), Project/Event Date, and Amount Billed.</t>
  </si>
  <si>
    <t xml:space="preserve">3. Special terms (optional)</t>
  </si>
  <si>
    <t xml:space="preserve">If a client agreed on different terms, type the days in 'Custom Terms (days)'. This overrides the category's default for that row only.</t>
  </si>
  <si>
    <t xml:space="preserve">4. When you send the invoice</t>
  </si>
  <si>
    <t xml:space="preserve">Enter the Invoice Sent Date (for your records).</t>
  </si>
  <si>
    <t xml:space="preserve">5. When you get paid</t>
  </si>
  <si>
    <t xml:space="preserve">Enter the Amount Received (running total, if paid in installments) and the Date Paid.</t>
  </si>
  <si>
    <t xml:space="preserve">6. Watch the status</t>
  </si>
  <si>
    <t xml:space="preserve">Payment Status updates automatically every day: Not Yet Due → Due Soon → Overdue, or Partially Paid / Paid.</t>
  </si>
  <si>
    <t xml:space="preserve">7. Follow up</t>
  </si>
  <si>
    <t xml:space="preserve">Filter the Tracker by Payment Status = Overdue to see who to follow up. Days Left / Overdue shows how late each one is.</t>
  </si>
  <si>
    <t xml:space="preserve">8. Check the Summary</t>
  </si>
  <si>
    <t xml:space="preserve">The Summary tab shows totals billed, received, outstanding and overdue — per category and per status.</t>
  </si>
  <si>
    <t xml:space="preserve">Colour legend</t>
  </si>
  <si>
    <t xml:space="preserve">Yellow cell with blue text = you type here. Grey cell = automatic formula, do not overwrite.</t>
  </si>
  <si>
    <t xml:space="preserve">Sample rows</t>
  </si>
  <si>
    <t xml:space="preserve">Rows 1–4 in the Tracker are samples marked (SAMPLE). Delete their contents before using.</t>
  </si>
  <si>
    <t xml:space="preserve">Status rules</t>
  </si>
  <si>
    <t xml:space="preserve">Paid: received ≥ billed. Overdue: today is past the due date and not fully paid. Due Soon: due within the window set in Settings (default 7 days). Partially Paid: some payment, not yet due. Not Yet Due: nothing received, not yet due.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</si>
</sst>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 d&quot;, &quot;yyyy"/>
    <numFmt numFmtId="166" formatCode="General"/>
    <numFmt numFmtId="167" formatCode="\₱#,##0.00;[RED]&quot;-₱&quot;#,##0.00;\-"/>
    <numFmt numFmtId="168" formatCode="0&quot; days left&quot;;0&quot; days overdue&quot;;&quot;Due today&quot;"/>
    <numFmt numFmtId="169" formatCode="0&quot; days&quot;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4"/>
      <color rgb="FF1F3A5F"/>
      <name val="Arial"/>
      <family val="0"/>
      <charset val="1"/>
    </font>
    <font>
      <b val="true"/>
      <sz val="14"/>
      <color rgb="FF9C000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9C57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1F4E78"/>
      </patternFill>
    </fill>
    <fill>
      <patternFill patternType="solid">
        <fgColor rgb="FF4F6D8F"/>
        <bgColor rgb="FF595959"/>
      </patternFill>
    </fill>
    <fill>
      <patternFill patternType="solid">
        <fgColor rgb="FFFFF9DB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9DB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F6D8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EDEDED"/>
        </patternFill>
      </fill>
    </dxf>
    <dxf>
      <font>
        <name val="Arial"/>
        <charset val="1"/>
        <family val="0"/>
        <b val="1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993366"/>
      <rgbColor rgb="FFFFF9DB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EDEDED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6D8F"/>
      <rgbColor rgb="FF969696"/>
      <rgbColor rgb="FF1F3A5F"/>
      <rgbColor rgb="FF339966"/>
      <rgbColor rgb="FF006100"/>
      <rgbColor rgb="FF333300"/>
      <rgbColor rgb="FF9C57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4" min="13" style="0" width="15"/>
    <col collapsed="false" customWidth="true" hidden="false" outlineLevel="0" max="15" min="15" style="0" width="17"/>
    <col collapsed="false" customWidth="true" hidden="false" outlineLevel="0" max="16" min="16" style="0" width="11"/>
    <col collapsed="false" customWidth="true" hidden="false" outlineLevel="0" max="17" min="17" style="0" width="3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f aca="true">TODAY()</f>
        <v>46309</v>
      </c>
    </row>
    <row r="4" customFormat="false" ht="33.7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6" t="s">
        <v>15</v>
      </c>
      <c r="N4" s="6" t="s">
        <v>16</v>
      </c>
      <c r="O4" s="6" t="s">
        <v>17</v>
      </c>
      <c r="P4" s="6" t="s">
        <v>18</v>
      </c>
      <c r="Q4" s="5" t="s">
        <v>19</v>
      </c>
    </row>
    <row r="5" customFormat="false" ht="15" hidden="false" customHeight="false" outlineLevel="0" collapsed="false">
      <c r="A5" s="7" t="n">
        <v>1</v>
      </c>
      <c r="B5" s="8" t="s">
        <v>20</v>
      </c>
      <c r="C5" s="9" t="s">
        <v>21</v>
      </c>
      <c r="D5" s="9" t="s">
        <v>22</v>
      </c>
      <c r="E5" s="10" t="n">
        <v>46256</v>
      </c>
      <c r="F5" s="7"/>
      <c r="G5" s="11" t="n">
        <f aca="false">IF(B5="","",IF(F5&lt;&gt;"",F5,IFERROR(INDEX(Settings!$B$5:$B$24,MATCH(D5,Settings!$A$5:$A$24,0)),Settings!$F$5)))</f>
        <v>15</v>
      </c>
      <c r="H5" s="12" t="n">
        <f aca="false">IF(OR(B5="",E5=""),"",E5+G5)</f>
        <v>46271</v>
      </c>
      <c r="I5" s="13" t="n">
        <v>15000</v>
      </c>
      <c r="J5" s="10" t="n">
        <v>46257</v>
      </c>
      <c r="K5" s="13" t="n">
        <v>15000</v>
      </c>
      <c r="L5" s="10" t="n">
        <v>46270</v>
      </c>
      <c r="M5" s="14" t="n">
        <f aca="false">IF(B5="","",N(I5)-N(K5))</f>
        <v>0</v>
      </c>
      <c r="N5" s="15" t="str">
        <f aca="true">IF(B5="","",IF(N(I5)=0,"Enter amount",IF(N(K5)&gt;=I5,"Paid",IF(H5="","Enter date",IF(TODAY()&gt;H5,"Overdue",IF(H5-TODAY()&lt;=Settings!$F$6,"Due Soon",IF(N(K5)&gt;0,"Partially Paid","Not Yet Due")))))))</f>
        <v>Paid</v>
      </c>
      <c r="O5" s="16" t="str">
        <f aca="true">IF(OR(B5="",H5="",N5="Paid"),"",H5-TODAY())</f>
        <v/>
      </c>
      <c r="P5" s="17" t="n">
        <f aca="false">IF(AND(N5="Paid",L5&lt;&gt;"",E5&lt;&gt;""),L5-E5,"")</f>
        <v>14</v>
      </c>
      <c r="Q5" s="8" t="s">
        <v>23</v>
      </c>
    </row>
    <row r="6" customFormat="false" ht="26.85" hidden="false" customHeight="false" outlineLevel="0" collapsed="false">
      <c r="A6" s="7" t="n">
        <v>2</v>
      </c>
      <c r="B6" s="8" t="s">
        <v>24</v>
      </c>
      <c r="C6" s="9" t="s">
        <v>25</v>
      </c>
      <c r="D6" s="9" t="s">
        <v>26</v>
      </c>
      <c r="E6" s="10" t="n">
        <v>46266</v>
      </c>
      <c r="F6" s="7"/>
      <c r="G6" s="11" t="n">
        <f aca="false">IF(B6="","",IF(F6&lt;&gt;"",F6,IFERROR(INDEX(Settings!$B$5:$B$24,MATCH(D6,Settings!$A$5:$A$24,0)),Settings!$F$5)))</f>
        <v>30</v>
      </c>
      <c r="H6" s="12" t="n">
        <f aca="false">IF(OR(B6="",E6=""),"",E6+G6)</f>
        <v>46296</v>
      </c>
      <c r="I6" s="13" t="n">
        <v>60000</v>
      </c>
      <c r="J6" s="10" t="n">
        <v>46267</v>
      </c>
      <c r="K6" s="13" t="n">
        <v>30000</v>
      </c>
      <c r="L6" s="10" t="n">
        <v>46275</v>
      </c>
      <c r="M6" s="14" t="n">
        <f aca="false">IF(B6="","",N(I6)-N(K6))</f>
        <v>30000</v>
      </c>
      <c r="N6" s="15" t="str">
        <f aca="true">IF(B6="","",IF(N(I6)=0,"Enter amount",IF(N(K6)&gt;=I6,"Paid",IF(H6="","Enter date",IF(TODAY()&gt;H6,"Overdue",IF(H6-TODAY()&lt;=Settings!$F$6,"Due Soon",IF(N(K6)&gt;0,"Partially Paid","Not Yet Due")))))))</f>
        <v>Overdue</v>
      </c>
      <c r="O6" s="16" t="n">
        <f aca="true">IF(OR(B6="",H6="",N6="Paid"),"",H6-TODAY())</f>
        <v>-13</v>
      </c>
      <c r="P6" s="17" t="str">
        <f aca="false">IF(AND(N6="Paid",L6&lt;&gt;"",E6&lt;&gt;""),L6-E6,"")</f>
        <v/>
      </c>
      <c r="Q6" s="8" t="s">
        <v>27</v>
      </c>
    </row>
    <row r="7" customFormat="false" ht="26.85" hidden="false" customHeight="false" outlineLevel="0" collapsed="false">
      <c r="A7" s="7" t="n">
        <v>3</v>
      </c>
      <c r="B7" s="8" t="s">
        <v>28</v>
      </c>
      <c r="C7" s="9" t="s">
        <v>29</v>
      </c>
      <c r="D7" s="9" t="s">
        <v>30</v>
      </c>
      <c r="E7" s="10" t="n">
        <v>46298</v>
      </c>
      <c r="F7" s="7"/>
      <c r="G7" s="11" t="n">
        <f aca="false">IF(B7="","",IF(F7&lt;&gt;"",F7,IFERROR(INDEX(Settings!$B$5:$B$24,MATCH(D7,Settings!$A$5:$A$24,0)),Settings!$F$5)))</f>
        <v>15</v>
      </c>
      <c r="H7" s="12" t="n">
        <f aca="false">IF(OR(B7="",E7=""),"",E7+G7)</f>
        <v>46313</v>
      </c>
      <c r="I7" s="13" t="n">
        <v>10000</v>
      </c>
      <c r="J7" s="10" t="n">
        <v>46299</v>
      </c>
      <c r="K7" s="13"/>
      <c r="L7" s="10"/>
      <c r="M7" s="14" t="n">
        <f aca="false">IF(B7="","",N(I7)-N(K7))</f>
        <v>10000</v>
      </c>
      <c r="N7" s="15" t="str">
        <f aca="true">IF(B7="","",IF(N(I7)=0,"Enter amount",IF(N(K7)&gt;=I7,"Paid",IF(H7="","Enter date",IF(TODAY()&gt;H7,"Overdue",IF(H7-TODAY()&lt;=Settings!$F$6,"Due Soon",IF(N(K7)&gt;0,"Partially Paid","Not Yet Due")))))))</f>
        <v>Due Soon</v>
      </c>
      <c r="O7" s="16" t="n">
        <f aca="true">IF(OR(B7="",H7="",N7="Paid"),"",H7-TODAY())</f>
        <v>4</v>
      </c>
      <c r="P7" s="17" t="str">
        <f aca="false">IF(AND(N7="Paid",L7&lt;&gt;"",E7&lt;&gt;""),L7-E7,"")</f>
        <v/>
      </c>
      <c r="Q7" s="8" t="s">
        <v>23</v>
      </c>
    </row>
    <row r="8" customFormat="false" ht="26.85" hidden="false" customHeight="false" outlineLevel="0" collapsed="false">
      <c r="A8" s="7" t="n">
        <v>4</v>
      </c>
      <c r="B8" s="8" t="s">
        <v>31</v>
      </c>
      <c r="C8" s="9" t="s">
        <v>32</v>
      </c>
      <c r="D8" s="9" t="s">
        <v>33</v>
      </c>
      <c r="E8" s="10" t="n">
        <v>46305</v>
      </c>
      <c r="F8" s="7" t="n">
        <v>45</v>
      </c>
      <c r="G8" s="11" t="n">
        <f aca="false">IF(B8="","",IF(F8&lt;&gt;"",F8,IFERROR(INDEX(Settings!$B$5:$B$24,MATCH(D8,Settings!$A$5:$A$24,0)),Settings!$F$5)))</f>
        <v>45</v>
      </c>
      <c r="H8" s="12" t="n">
        <f aca="false">IF(OR(B8="",E8=""),"",E8+G8)</f>
        <v>46350</v>
      </c>
      <c r="I8" s="13" t="n">
        <v>80000</v>
      </c>
      <c r="J8" s="10"/>
      <c r="K8" s="13"/>
      <c r="L8" s="10"/>
      <c r="M8" s="14" t="n">
        <f aca="false">IF(B8="","",N(I8)-N(K8))</f>
        <v>80000</v>
      </c>
      <c r="N8" s="15" t="str">
        <f aca="true">IF(B8="","",IF(N(I8)=0,"Enter amount",IF(N(K8)&gt;=I8,"Paid",IF(H8="","Enter date",IF(TODAY()&gt;H8,"Overdue",IF(H8-TODAY()&lt;=Settings!$F$6,"Due Soon",IF(N(K8)&gt;0,"Partially Paid","Not Yet Due")))))))</f>
        <v>Not Yet Due</v>
      </c>
      <c r="O8" s="16" t="n">
        <f aca="true">IF(OR(B8="",H8="",N8="Paid"),"",H8-TODAY())</f>
        <v>41</v>
      </c>
      <c r="P8" s="17" t="str">
        <f aca="false">IF(AND(N8="Paid",L8&lt;&gt;"",E8&lt;&gt;""),L8-E8,"")</f>
        <v/>
      </c>
      <c r="Q8" s="8" t="s">
        <v>34</v>
      </c>
    </row>
    <row r="9" customFormat="false" ht="15" hidden="false" customHeight="false" outlineLevel="0" collapsed="false">
      <c r="A9" s="7"/>
      <c r="B9" s="8"/>
      <c r="C9" s="9"/>
      <c r="D9" s="9"/>
      <c r="E9" s="10"/>
      <c r="F9" s="7"/>
      <c r="G9" s="11" t="str">
        <f aca="false">IF(B9="","",IF(F9&lt;&gt;"",F9,IFERROR(INDEX(Settings!$B$5:$B$24,MATCH(D9,Settings!$A$5:$A$24,0)),Settings!$F$5)))</f>
        <v/>
      </c>
      <c r="H9" s="12" t="str">
        <f aca="false">IF(OR(B9="",E9=""),"",E9+G9)</f>
        <v/>
      </c>
      <c r="I9" s="13"/>
      <c r="J9" s="10"/>
      <c r="K9" s="13"/>
      <c r="L9" s="10"/>
      <c r="M9" s="14" t="str">
        <f aca="false">IF(B9="","",N(I9)-N(K9))</f>
        <v/>
      </c>
      <c r="N9" s="15" t="str">
        <f aca="true">IF(B9="","",IF(N(I9)=0,"Enter amount",IF(N(K9)&gt;=I9,"Paid",IF(H9="","Enter date",IF(TODAY()&gt;H9,"Overdue",IF(H9-TODAY()&lt;=Settings!$F$6,"Due Soon",IF(N(K9)&gt;0,"Partially Paid","Not Yet Due")))))))</f>
        <v/>
      </c>
      <c r="O9" s="16" t="str">
        <f aca="true">IF(OR(B9="",H9="",N9="Paid"),"",H9-TODAY())</f>
        <v/>
      </c>
      <c r="P9" s="17" t="str">
        <f aca="false">IF(AND(N9="Paid",L9&lt;&gt;"",E9&lt;&gt;""),L9-E9,"")</f>
        <v/>
      </c>
      <c r="Q9" s="8"/>
    </row>
    <row r="10" customFormat="false" ht="15" hidden="false" customHeight="false" outlineLevel="0" collapsed="false">
      <c r="A10" s="7"/>
      <c r="B10" s="8"/>
      <c r="C10" s="9"/>
      <c r="D10" s="9"/>
      <c r="E10" s="10"/>
      <c r="F10" s="7"/>
      <c r="G10" s="11" t="str">
        <f aca="false">IF(B10="","",IF(F10&lt;&gt;"",F10,IFERROR(INDEX(Settings!$B$5:$B$24,MATCH(D10,Settings!$A$5:$A$24,0)),Settings!$F$5)))</f>
        <v/>
      </c>
      <c r="H10" s="12" t="str">
        <f aca="false">IF(OR(B10="",E10=""),"",E10+G10)</f>
        <v/>
      </c>
      <c r="I10" s="13"/>
      <c r="J10" s="10"/>
      <c r="K10" s="13"/>
      <c r="L10" s="10"/>
      <c r="M10" s="14" t="str">
        <f aca="false">IF(B10="","",N(I10)-N(K10))</f>
        <v/>
      </c>
      <c r="N10" s="15" t="str">
        <f aca="true">IF(B10="","",IF(N(I10)=0,"Enter amount",IF(N(K10)&gt;=I10,"Paid",IF(H10="","Enter date",IF(TODAY()&gt;H10,"Overdue",IF(H10-TODAY()&lt;=Settings!$F$6,"Due Soon",IF(N(K10)&gt;0,"Partially Paid","Not Yet Due")))))))</f>
        <v/>
      </c>
      <c r="O10" s="16" t="str">
        <f aca="true">IF(OR(B10="",H10="",N10="Paid"),"",H10-TODAY())</f>
        <v/>
      </c>
      <c r="P10" s="17" t="str">
        <f aca="false">IF(AND(N10="Paid",L10&lt;&gt;"",E10&lt;&gt;""),L10-E10,"")</f>
        <v/>
      </c>
      <c r="Q10" s="8"/>
    </row>
    <row r="11" customFormat="false" ht="15" hidden="false" customHeight="false" outlineLevel="0" collapsed="false">
      <c r="A11" s="7"/>
      <c r="B11" s="8"/>
      <c r="C11" s="9"/>
      <c r="D11" s="9"/>
      <c r="E11" s="10"/>
      <c r="F11" s="7"/>
      <c r="G11" s="11" t="str">
        <f aca="false">IF(B11="","",IF(F11&lt;&gt;"",F11,IFERROR(INDEX(Settings!$B$5:$B$24,MATCH(D11,Settings!$A$5:$A$24,0)),Settings!$F$5)))</f>
        <v/>
      </c>
      <c r="H11" s="12" t="str">
        <f aca="false">IF(OR(B11="",E11=""),"",E11+G11)</f>
        <v/>
      </c>
      <c r="I11" s="13"/>
      <c r="J11" s="10"/>
      <c r="K11" s="13"/>
      <c r="L11" s="10"/>
      <c r="M11" s="14" t="str">
        <f aca="false">IF(B11="","",N(I11)-N(K11))</f>
        <v/>
      </c>
      <c r="N11" s="15" t="str">
        <f aca="true">IF(B11="","",IF(N(I11)=0,"Enter amount",IF(N(K11)&gt;=I11,"Paid",IF(H11="","Enter date",IF(TODAY()&gt;H11,"Overdue",IF(H11-TODAY()&lt;=Settings!$F$6,"Due Soon",IF(N(K11)&gt;0,"Partially Paid","Not Yet Due")))))))</f>
        <v/>
      </c>
      <c r="O11" s="16" t="str">
        <f aca="true">IF(OR(B11="",H11="",N11="Paid"),"",H11-TODAY())</f>
        <v/>
      </c>
      <c r="P11" s="17" t="str">
        <f aca="false">IF(AND(N11="Paid",L11&lt;&gt;"",E11&lt;&gt;""),L11-E11,"")</f>
        <v/>
      </c>
      <c r="Q11" s="8"/>
    </row>
    <row r="12" customFormat="false" ht="15" hidden="false" customHeight="false" outlineLevel="0" collapsed="false">
      <c r="A12" s="7"/>
      <c r="B12" s="8"/>
      <c r="C12" s="9"/>
      <c r="D12" s="9"/>
      <c r="E12" s="10"/>
      <c r="F12" s="7"/>
      <c r="G12" s="11" t="str">
        <f aca="false">IF(B12="","",IF(F12&lt;&gt;"",F12,IFERROR(INDEX(Settings!$B$5:$B$24,MATCH(D12,Settings!$A$5:$A$24,0)),Settings!$F$5)))</f>
        <v/>
      </c>
      <c r="H12" s="12" t="str">
        <f aca="false">IF(OR(B12="",E12=""),"",E12+G12)</f>
        <v/>
      </c>
      <c r="I12" s="13"/>
      <c r="J12" s="10"/>
      <c r="K12" s="13"/>
      <c r="L12" s="10"/>
      <c r="M12" s="14" t="str">
        <f aca="false">IF(B12="","",N(I12)-N(K12))</f>
        <v/>
      </c>
      <c r="N12" s="15" t="str">
        <f aca="true">IF(B12="","",IF(N(I12)=0,"Enter amount",IF(N(K12)&gt;=I12,"Paid",IF(H12="","Enter date",IF(TODAY()&gt;H12,"Overdue",IF(H12-TODAY()&lt;=Settings!$F$6,"Due Soon",IF(N(K12)&gt;0,"Partially Paid","Not Yet Due")))))))</f>
        <v/>
      </c>
      <c r="O12" s="16" t="str">
        <f aca="true">IF(OR(B12="",H12="",N12="Paid"),"",H12-TODAY())</f>
        <v/>
      </c>
      <c r="P12" s="17" t="str">
        <f aca="false">IF(AND(N12="Paid",L12&lt;&gt;"",E12&lt;&gt;""),L12-E12,"")</f>
        <v/>
      </c>
      <c r="Q12" s="8"/>
    </row>
    <row r="13" customFormat="false" ht="15" hidden="false" customHeight="false" outlineLevel="0" collapsed="false">
      <c r="A13" s="7"/>
      <c r="B13" s="8"/>
      <c r="C13" s="9"/>
      <c r="D13" s="9"/>
      <c r="E13" s="10"/>
      <c r="F13" s="7"/>
      <c r="G13" s="11" t="str">
        <f aca="false">IF(B13="","",IF(F13&lt;&gt;"",F13,IFERROR(INDEX(Settings!$B$5:$B$24,MATCH(D13,Settings!$A$5:$A$24,0)),Settings!$F$5)))</f>
        <v/>
      </c>
      <c r="H13" s="12" t="str">
        <f aca="false">IF(OR(B13="",E13=""),"",E13+G13)</f>
        <v/>
      </c>
      <c r="I13" s="13"/>
      <c r="J13" s="10"/>
      <c r="K13" s="13"/>
      <c r="L13" s="10"/>
      <c r="M13" s="14" t="str">
        <f aca="false">IF(B13="","",N(I13)-N(K13))</f>
        <v/>
      </c>
      <c r="N13" s="15" t="str">
        <f aca="true">IF(B13="","",IF(N(I13)=0,"Enter amount",IF(N(K13)&gt;=I13,"Paid",IF(H13="","Enter date",IF(TODAY()&gt;H13,"Overdue",IF(H13-TODAY()&lt;=Settings!$F$6,"Due Soon",IF(N(K13)&gt;0,"Partially Paid","Not Yet Due")))))))</f>
        <v/>
      </c>
      <c r="O13" s="16" t="str">
        <f aca="true">IF(OR(B13="",H13="",N13="Paid"),"",H13-TODAY())</f>
        <v/>
      </c>
      <c r="P13" s="17" t="str">
        <f aca="false">IF(AND(N13="Paid",L13&lt;&gt;"",E13&lt;&gt;""),L13-E13,"")</f>
        <v/>
      </c>
      <c r="Q13" s="8"/>
    </row>
    <row r="14" customFormat="false" ht="15" hidden="false" customHeight="false" outlineLevel="0" collapsed="false">
      <c r="A14" s="7"/>
      <c r="B14" s="8"/>
      <c r="C14" s="9"/>
      <c r="D14" s="9"/>
      <c r="E14" s="10"/>
      <c r="F14" s="7"/>
      <c r="G14" s="11" t="str">
        <f aca="false">IF(B14="","",IF(F14&lt;&gt;"",F14,IFERROR(INDEX(Settings!$B$5:$B$24,MATCH(D14,Settings!$A$5:$A$24,0)),Settings!$F$5)))</f>
        <v/>
      </c>
      <c r="H14" s="12" t="str">
        <f aca="false">IF(OR(B14="",E14=""),"",E14+G14)</f>
        <v/>
      </c>
      <c r="I14" s="13"/>
      <c r="J14" s="10"/>
      <c r="K14" s="13"/>
      <c r="L14" s="10"/>
      <c r="M14" s="14" t="str">
        <f aca="false">IF(B14="","",N(I14)-N(K14))</f>
        <v/>
      </c>
      <c r="N14" s="15" t="str">
        <f aca="true">IF(B14="","",IF(N(I14)=0,"Enter amount",IF(N(K14)&gt;=I14,"Paid",IF(H14="","Enter date",IF(TODAY()&gt;H14,"Overdue",IF(H14-TODAY()&lt;=Settings!$F$6,"Due Soon",IF(N(K14)&gt;0,"Partially Paid","Not Yet Due")))))))</f>
        <v/>
      </c>
      <c r="O14" s="16" t="str">
        <f aca="true">IF(OR(B14="",H14="",N14="Paid"),"",H14-TODAY())</f>
        <v/>
      </c>
      <c r="P14" s="17" t="str">
        <f aca="false">IF(AND(N14="Paid",L14&lt;&gt;"",E14&lt;&gt;""),L14-E14,"")</f>
        <v/>
      </c>
      <c r="Q14" s="8"/>
    </row>
    <row r="15" customFormat="false" ht="15" hidden="false" customHeight="false" outlineLevel="0" collapsed="false">
      <c r="A15" s="7"/>
      <c r="B15" s="8"/>
      <c r="C15" s="9"/>
      <c r="D15" s="9"/>
      <c r="E15" s="10"/>
      <c r="F15" s="7"/>
      <c r="G15" s="11" t="str">
        <f aca="false">IF(B15="","",IF(F15&lt;&gt;"",F15,IFERROR(INDEX(Settings!$B$5:$B$24,MATCH(D15,Settings!$A$5:$A$24,0)),Settings!$F$5)))</f>
        <v/>
      </c>
      <c r="H15" s="12" t="str">
        <f aca="false">IF(OR(B15="",E15=""),"",E15+G15)</f>
        <v/>
      </c>
      <c r="I15" s="13"/>
      <c r="J15" s="10"/>
      <c r="K15" s="13"/>
      <c r="L15" s="10"/>
      <c r="M15" s="14" t="str">
        <f aca="false">IF(B15="","",N(I15)-N(K15))</f>
        <v/>
      </c>
      <c r="N15" s="15" t="str">
        <f aca="true">IF(B15="","",IF(N(I15)=0,"Enter amount",IF(N(K15)&gt;=I15,"Paid",IF(H15="","Enter date",IF(TODAY()&gt;H15,"Overdue",IF(H15-TODAY()&lt;=Settings!$F$6,"Due Soon",IF(N(K15)&gt;0,"Partially Paid","Not Yet Due")))))))</f>
        <v/>
      </c>
      <c r="O15" s="16" t="str">
        <f aca="true">IF(OR(B15="",H15="",N15="Paid"),"",H15-TODAY())</f>
        <v/>
      </c>
      <c r="P15" s="17" t="str">
        <f aca="false">IF(AND(N15="Paid",L15&lt;&gt;"",E15&lt;&gt;""),L15-E15,"")</f>
        <v/>
      </c>
      <c r="Q15" s="8"/>
    </row>
    <row r="16" customFormat="false" ht="15" hidden="false" customHeight="false" outlineLevel="0" collapsed="false">
      <c r="A16" s="7"/>
      <c r="B16" s="8"/>
      <c r="C16" s="9"/>
      <c r="D16" s="9"/>
      <c r="E16" s="10"/>
      <c r="F16" s="7"/>
      <c r="G16" s="11" t="str">
        <f aca="false">IF(B16="","",IF(F16&lt;&gt;"",F16,IFERROR(INDEX(Settings!$B$5:$B$24,MATCH(D16,Settings!$A$5:$A$24,0)),Settings!$F$5)))</f>
        <v/>
      </c>
      <c r="H16" s="12" t="str">
        <f aca="false">IF(OR(B16="",E16=""),"",E16+G16)</f>
        <v/>
      </c>
      <c r="I16" s="13"/>
      <c r="J16" s="10"/>
      <c r="K16" s="13"/>
      <c r="L16" s="10"/>
      <c r="M16" s="14" t="str">
        <f aca="false">IF(B16="","",N(I16)-N(K16))</f>
        <v/>
      </c>
      <c r="N16" s="15" t="str">
        <f aca="true">IF(B16="","",IF(N(I16)=0,"Enter amount",IF(N(K16)&gt;=I16,"Paid",IF(H16="","Enter date",IF(TODAY()&gt;H16,"Overdue",IF(H16-TODAY()&lt;=Settings!$F$6,"Due Soon",IF(N(K16)&gt;0,"Partially Paid","Not Yet Due")))))))</f>
        <v/>
      </c>
      <c r="O16" s="16" t="str">
        <f aca="true">IF(OR(B16="",H16="",N16="Paid"),"",H16-TODAY())</f>
        <v/>
      </c>
      <c r="P16" s="17" t="str">
        <f aca="false">IF(AND(N16="Paid",L16&lt;&gt;"",E16&lt;&gt;""),L16-E16,"")</f>
        <v/>
      </c>
      <c r="Q16" s="8"/>
    </row>
    <row r="17" customFormat="false" ht="15" hidden="false" customHeight="false" outlineLevel="0" collapsed="false">
      <c r="A17" s="7"/>
      <c r="B17" s="8"/>
      <c r="C17" s="9"/>
      <c r="D17" s="9"/>
      <c r="E17" s="10"/>
      <c r="F17" s="7"/>
      <c r="G17" s="11" t="str">
        <f aca="false">IF(B17="","",IF(F17&lt;&gt;"",F17,IFERROR(INDEX(Settings!$B$5:$B$24,MATCH(D17,Settings!$A$5:$A$24,0)),Settings!$F$5)))</f>
        <v/>
      </c>
      <c r="H17" s="12" t="str">
        <f aca="false">IF(OR(B17="",E17=""),"",E17+G17)</f>
        <v/>
      </c>
      <c r="I17" s="13"/>
      <c r="J17" s="10"/>
      <c r="K17" s="13"/>
      <c r="L17" s="10"/>
      <c r="M17" s="14" t="str">
        <f aca="false">IF(B17="","",N(I17)-N(K17))</f>
        <v/>
      </c>
      <c r="N17" s="15" t="str">
        <f aca="true">IF(B17="","",IF(N(I17)=0,"Enter amount",IF(N(K17)&gt;=I17,"Paid",IF(H17="","Enter date",IF(TODAY()&gt;H17,"Overdue",IF(H17-TODAY()&lt;=Settings!$F$6,"Due Soon",IF(N(K17)&gt;0,"Partially Paid","Not Yet Due")))))))</f>
        <v/>
      </c>
      <c r="O17" s="16" t="str">
        <f aca="true">IF(OR(B17="",H17="",N17="Paid"),"",H17-TODAY())</f>
        <v/>
      </c>
      <c r="P17" s="17" t="str">
        <f aca="false">IF(AND(N17="Paid",L17&lt;&gt;"",E17&lt;&gt;""),L17-E17,"")</f>
        <v/>
      </c>
      <c r="Q17" s="8"/>
    </row>
    <row r="18" customFormat="false" ht="15" hidden="false" customHeight="false" outlineLevel="0" collapsed="false">
      <c r="A18" s="7"/>
      <c r="B18" s="8"/>
      <c r="C18" s="9"/>
      <c r="D18" s="9"/>
      <c r="E18" s="10"/>
      <c r="F18" s="7"/>
      <c r="G18" s="11" t="str">
        <f aca="false">IF(B18="","",IF(F18&lt;&gt;"",F18,IFERROR(INDEX(Settings!$B$5:$B$24,MATCH(D18,Settings!$A$5:$A$24,0)),Settings!$F$5)))</f>
        <v/>
      </c>
      <c r="H18" s="12" t="str">
        <f aca="false">IF(OR(B18="",E18=""),"",E18+G18)</f>
        <v/>
      </c>
      <c r="I18" s="13"/>
      <c r="J18" s="10"/>
      <c r="K18" s="13"/>
      <c r="L18" s="10"/>
      <c r="M18" s="14" t="str">
        <f aca="false">IF(B18="","",N(I18)-N(K18))</f>
        <v/>
      </c>
      <c r="N18" s="15" t="str">
        <f aca="true">IF(B18="","",IF(N(I18)=0,"Enter amount",IF(N(K18)&gt;=I18,"Paid",IF(H18="","Enter date",IF(TODAY()&gt;H18,"Overdue",IF(H18-TODAY()&lt;=Settings!$F$6,"Due Soon",IF(N(K18)&gt;0,"Partially Paid","Not Yet Due")))))))</f>
        <v/>
      </c>
      <c r="O18" s="16" t="str">
        <f aca="true">IF(OR(B18="",H18="",N18="Paid"),"",H18-TODAY())</f>
        <v/>
      </c>
      <c r="P18" s="17" t="str">
        <f aca="false">IF(AND(N18="Paid",L18&lt;&gt;"",E18&lt;&gt;""),L18-E18,"")</f>
        <v/>
      </c>
      <c r="Q18" s="8"/>
    </row>
    <row r="19" customFormat="false" ht="15" hidden="false" customHeight="false" outlineLevel="0" collapsed="false">
      <c r="A19" s="7"/>
      <c r="B19" s="8"/>
      <c r="C19" s="9"/>
      <c r="D19" s="9"/>
      <c r="E19" s="10"/>
      <c r="F19" s="7"/>
      <c r="G19" s="11" t="str">
        <f aca="false">IF(B19="","",IF(F19&lt;&gt;"",F19,IFERROR(INDEX(Settings!$B$5:$B$24,MATCH(D19,Settings!$A$5:$A$24,0)),Settings!$F$5)))</f>
        <v/>
      </c>
      <c r="H19" s="12" t="str">
        <f aca="false">IF(OR(B19="",E19=""),"",E19+G19)</f>
        <v/>
      </c>
      <c r="I19" s="13"/>
      <c r="J19" s="10"/>
      <c r="K19" s="13"/>
      <c r="L19" s="10"/>
      <c r="M19" s="14" t="str">
        <f aca="false">IF(B19="","",N(I19)-N(K19))</f>
        <v/>
      </c>
      <c r="N19" s="15" t="str">
        <f aca="true">IF(B19="","",IF(N(I19)=0,"Enter amount",IF(N(K19)&gt;=I19,"Paid",IF(H19="","Enter date",IF(TODAY()&gt;H19,"Overdue",IF(H19-TODAY()&lt;=Settings!$F$6,"Due Soon",IF(N(K19)&gt;0,"Partially Paid","Not Yet Due")))))))</f>
        <v/>
      </c>
      <c r="O19" s="16" t="str">
        <f aca="true">IF(OR(B19="",H19="",N19="Paid"),"",H19-TODAY())</f>
        <v/>
      </c>
      <c r="P19" s="17" t="str">
        <f aca="false">IF(AND(N19="Paid",L19&lt;&gt;"",E19&lt;&gt;""),L19-E19,"")</f>
        <v/>
      </c>
      <c r="Q19" s="8"/>
    </row>
    <row r="20" customFormat="false" ht="15" hidden="false" customHeight="false" outlineLevel="0" collapsed="false">
      <c r="A20" s="7"/>
      <c r="B20" s="8"/>
      <c r="C20" s="9"/>
      <c r="D20" s="9"/>
      <c r="E20" s="10"/>
      <c r="F20" s="7"/>
      <c r="G20" s="11" t="str">
        <f aca="false">IF(B20="","",IF(F20&lt;&gt;"",F20,IFERROR(INDEX(Settings!$B$5:$B$24,MATCH(D20,Settings!$A$5:$A$24,0)),Settings!$F$5)))</f>
        <v/>
      </c>
      <c r="H20" s="12" t="str">
        <f aca="false">IF(OR(B20="",E20=""),"",E20+G20)</f>
        <v/>
      </c>
      <c r="I20" s="13"/>
      <c r="J20" s="10"/>
      <c r="K20" s="13"/>
      <c r="L20" s="10"/>
      <c r="M20" s="14" t="str">
        <f aca="false">IF(B20="","",N(I20)-N(K20))</f>
        <v/>
      </c>
      <c r="N20" s="15" t="str">
        <f aca="true">IF(B20="","",IF(N(I20)=0,"Enter amount",IF(N(K20)&gt;=I20,"Paid",IF(H20="","Enter date",IF(TODAY()&gt;H20,"Overdue",IF(H20-TODAY()&lt;=Settings!$F$6,"Due Soon",IF(N(K20)&gt;0,"Partially Paid","Not Yet Due")))))))</f>
        <v/>
      </c>
      <c r="O20" s="16" t="str">
        <f aca="true">IF(OR(B20="",H20="",N20="Paid"),"",H20-TODAY())</f>
        <v/>
      </c>
      <c r="P20" s="17" t="str">
        <f aca="false">IF(AND(N20="Paid",L20&lt;&gt;"",E20&lt;&gt;""),L20-E20,"")</f>
        <v/>
      </c>
      <c r="Q20" s="8"/>
    </row>
    <row r="21" customFormat="false" ht="15" hidden="false" customHeight="false" outlineLevel="0" collapsed="false">
      <c r="A21" s="7"/>
      <c r="B21" s="8"/>
      <c r="C21" s="9"/>
      <c r="D21" s="9"/>
      <c r="E21" s="10"/>
      <c r="F21" s="7"/>
      <c r="G21" s="11" t="str">
        <f aca="false">IF(B21="","",IF(F21&lt;&gt;"",F21,IFERROR(INDEX(Settings!$B$5:$B$24,MATCH(D21,Settings!$A$5:$A$24,0)),Settings!$F$5)))</f>
        <v/>
      </c>
      <c r="H21" s="12" t="str">
        <f aca="false">IF(OR(B21="",E21=""),"",E21+G21)</f>
        <v/>
      </c>
      <c r="I21" s="13"/>
      <c r="J21" s="10"/>
      <c r="K21" s="13"/>
      <c r="L21" s="10"/>
      <c r="M21" s="14" t="str">
        <f aca="false">IF(B21="","",N(I21)-N(K21))</f>
        <v/>
      </c>
      <c r="N21" s="15" t="str">
        <f aca="true">IF(B21="","",IF(N(I21)=0,"Enter amount",IF(N(K21)&gt;=I21,"Paid",IF(H21="","Enter date",IF(TODAY()&gt;H21,"Overdue",IF(H21-TODAY()&lt;=Settings!$F$6,"Due Soon",IF(N(K21)&gt;0,"Partially Paid","Not Yet Due")))))))</f>
        <v/>
      </c>
      <c r="O21" s="16" t="str">
        <f aca="true">IF(OR(B21="",H21="",N21="Paid"),"",H21-TODAY())</f>
        <v/>
      </c>
      <c r="P21" s="17" t="str">
        <f aca="false">IF(AND(N21="Paid",L21&lt;&gt;"",E21&lt;&gt;""),L21-E21,"")</f>
        <v/>
      </c>
      <c r="Q21" s="8"/>
    </row>
    <row r="22" customFormat="false" ht="15" hidden="false" customHeight="false" outlineLevel="0" collapsed="false">
      <c r="A22" s="7"/>
      <c r="B22" s="8"/>
      <c r="C22" s="9"/>
      <c r="D22" s="9"/>
      <c r="E22" s="10"/>
      <c r="F22" s="7"/>
      <c r="G22" s="11" t="str">
        <f aca="false">IF(B22="","",IF(F22&lt;&gt;"",F22,IFERROR(INDEX(Settings!$B$5:$B$24,MATCH(D22,Settings!$A$5:$A$24,0)),Settings!$F$5)))</f>
        <v/>
      </c>
      <c r="H22" s="12" t="str">
        <f aca="false">IF(OR(B22="",E22=""),"",E22+G22)</f>
        <v/>
      </c>
      <c r="I22" s="13"/>
      <c r="J22" s="10"/>
      <c r="K22" s="13"/>
      <c r="L22" s="10"/>
      <c r="M22" s="14" t="str">
        <f aca="false">IF(B22="","",N(I22)-N(K22))</f>
        <v/>
      </c>
      <c r="N22" s="15" t="str">
        <f aca="true">IF(B22="","",IF(N(I22)=0,"Enter amount",IF(N(K22)&gt;=I22,"Paid",IF(H22="","Enter date",IF(TODAY()&gt;H22,"Overdue",IF(H22-TODAY()&lt;=Settings!$F$6,"Due Soon",IF(N(K22)&gt;0,"Partially Paid","Not Yet Due")))))))</f>
        <v/>
      </c>
      <c r="O22" s="16" t="str">
        <f aca="true">IF(OR(B22="",H22="",N22="Paid"),"",H22-TODAY())</f>
        <v/>
      </c>
      <c r="P22" s="17" t="str">
        <f aca="false">IF(AND(N22="Paid",L22&lt;&gt;"",E22&lt;&gt;""),L22-E22,"")</f>
        <v/>
      </c>
      <c r="Q22" s="8"/>
    </row>
    <row r="23" customFormat="false" ht="15" hidden="false" customHeight="false" outlineLevel="0" collapsed="false">
      <c r="A23" s="7"/>
      <c r="B23" s="8"/>
      <c r="C23" s="9"/>
      <c r="D23" s="9"/>
      <c r="E23" s="10"/>
      <c r="F23" s="7"/>
      <c r="G23" s="11" t="str">
        <f aca="false">IF(B23="","",IF(F23&lt;&gt;"",F23,IFERROR(INDEX(Settings!$B$5:$B$24,MATCH(D23,Settings!$A$5:$A$24,0)),Settings!$F$5)))</f>
        <v/>
      </c>
      <c r="H23" s="12" t="str">
        <f aca="false">IF(OR(B23="",E23=""),"",E23+G23)</f>
        <v/>
      </c>
      <c r="I23" s="13"/>
      <c r="J23" s="10"/>
      <c r="K23" s="13"/>
      <c r="L23" s="10"/>
      <c r="M23" s="14" t="str">
        <f aca="false">IF(B23="","",N(I23)-N(K23))</f>
        <v/>
      </c>
      <c r="N23" s="15" t="str">
        <f aca="true">IF(B23="","",IF(N(I23)=0,"Enter amount",IF(N(K23)&gt;=I23,"Paid",IF(H23="","Enter date",IF(TODAY()&gt;H23,"Overdue",IF(H23-TODAY()&lt;=Settings!$F$6,"Due Soon",IF(N(K23)&gt;0,"Partially Paid","Not Yet Due")))))))</f>
        <v/>
      </c>
      <c r="O23" s="16" t="str">
        <f aca="true">IF(OR(B23="",H23="",N23="Paid"),"",H23-TODAY())</f>
        <v/>
      </c>
      <c r="P23" s="17" t="str">
        <f aca="false">IF(AND(N23="Paid",L23&lt;&gt;"",E23&lt;&gt;""),L23-E23,"")</f>
        <v/>
      </c>
      <c r="Q23" s="8"/>
    </row>
    <row r="24" customFormat="false" ht="15" hidden="false" customHeight="false" outlineLevel="0" collapsed="false">
      <c r="A24" s="7"/>
      <c r="B24" s="8"/>
      <c r="C24" s="9"/>
      <c r="D24" s="9"/>
      <c r="E24" s="10"/>
      <c r="F24" s="7"/>
      <c r="G24" s="11" t="str">
        <f aca="false">IF(B24="","",IF(F24&lt;&gt;"",F24,IFERROR(INDEX(Settings!$B$5:$B$24,MATCH(D24,Settings!$A$5:$A$24,0)),Settings!$F$5)))</f>
        <v/>
      </c>
      <c r="H24" s="12" t="str">
        <f aca="false">IF(OR(B24="",E24=""),"",E24+G24)</f>
        <v/>
      </c>
      <c r="I24" s="13"/>
      <c r="J24" s="10"/>
      <c r="K24" s="13"/>
      <c r="L24" s="10"/>
      <c r="M24" s="14" t="str">
        <f aca="false">IF(B24="","",N(I24)-N(K24))</f>
        <v/>
      </c>
      <c r="N24" s="15" t="str">
        <f aca="true">IF(B24="","",IF(N(I24)=0,"Enter amount",IF(N(K24)&gt;=I24,"Paid",IF(H24="","Enter date",IF(TODAY()&gt;H24,"Overdue",IF(H24-TODAY()&lt;=Settings!$F$6,"Due Soon",IF(N(K24)&gt;0,"Partially Paid","Not Yet Due")))))))</f>
        <v/>
      </c>
      <c r="O24" s="16" t="str">
        <f aca="true">IF(OR(B24="",H24="",N24="Paid"),"",H24-TODAY())</f>
        <v/>
      </c>
      <c r="P24" s="17" t="str">
        <f aca="false">IF(AND(N24="Paid",L24&lt;&gt;"",E24&lt;&gt;""),L24-E24,"")</f>
        <v/>
      </c>
      <c r="Q24" s="8"/>
    </row>
    <row r="25" customFormat="false" ht="15" hidden="false" customHeight="false" outlineLevel="0" collapsed="false">
      <c r="A25" s="7"/>
      <c r="B25" s="8"/>
      <c r="C25" s="9"/>
      <c r="D25" s="9"/>
      <c r="E25" s="10"/>
      <c r="F25" s="7"/>
      <c r="G25" s="11" t="str">
        <f aca="false">IF(B25="","",IF(F25&lt;&gt;"",F25,IFERROR(INDEX(Settings!$B$5:$B$24,MATCH(D25,Settings!$A$5:$A$24,0)),Settings!$F$5)))</f>
        <v/>
      </c>
      <c r="H25" s="12" t="str">
        <f aca="false">IF(OR(B25="",E25=""),"",E25+G25)</f>
        <v/>
      </c>
      <c r="I25" s="13"/>
      <c r="J25" s="10"/>
      <c r="K25" s="13"/>
      <c r="L25" s="10"/>
      <c r="M25" s="14" t="str">
        <f aca="false">IF(B25="","",N(I25)-N(K25))</f>
        <v/>
      </c>
      <c r="N25" s="15" t="str">
        <f aca="true">IF(B25="","",IF(N(I25)=0,"Enter amount",IF(N(K25)&gt;=I25,"Paid",IF(H25="","Enter date",IF(TODAY()&gt;H25,"Overdue",IF(H25-TODAY()&lt;=Settings!$F$6,"Due Soon",IF(N(K25)&gt;0,"Partially Paid","Not Yet Due")))))))</f>
        <v/>
      </c>
      <c r="O25" s="16" t="str">
        <f aca="true">IF(OR(B25="",H25="",N25="Paid"),"",H25-TODAY())</f>
        <v/>
      </c>
      <c r="P25" s="17" t="str">
        <f aca="false">IF(AND(N25="Paid",L25&lt;&gt;"",E25&lt;&gt;""),L25-E25,"")</f>
        <v/>
      </c>
      <c r="Q25" s="8"/>
    </row>
    <row r="26" customFormat="false" ht="15" hidden="false" customHeight="false" outlineLevel="0" collapsed="false">
      <c r="A26" s="7"/>
      <c r="B26" s="8"/>
      <c r="C26" s="9"/>
      <c r="D26" s="9"/>
      <c r="E26" s="10"/>
      <c r="F26" s="7"/>
      <c r="G26" s="11" t="str">
        <f aca="false">IF(B26="","",IF(F26&lt;&gt;"",F26,IFERROR(INDEX(Settings!$B$5:$B$24,MATCH(D26,Settings!$A$5:$A$24,0)),Settings!$F$5)))</f>
        <v/>
      </c>
      <c r="H26" s="12" t="str">
        <f aca="false">IF(OR(B26="",E26=""),"",E26+G26)</f>
        <v/>
      </c>
      <c r="I26" s="13"/>
      <c r="J26" s="10"/>
      <c r="K26" s="13"/>
      <c r="L26" s="10"/>
      <c r="M26" s="14" t="str">
        <f aca="false">IF(B26="","",N(I26)-N(K26))</f>
        <v/>
      </c>
      <c r="N26" s="15" t="str">
        <f aca="true">IF(B26="","",IF(N(I26)=0,"Enter amount",IF(N(K26)&gt;=I26,"Paid",IF(H26="","Enter date",IF(TODAY()&gt;H26,"Overdue",IF(H26-TODAY()&lt;=Settings!$F$6,"Due Soon",IF(N(K26)&gt;0,"Partially Paid","Not Yet Due")))))))</f>
        <v/>
      </c>
      <c r="O26" s="16" t="str">
        <f aca="true">IF(OR(B26="",H26="",N26="Paid"),"",H26-TODAY())</f>
        <v/>
      </c>
      <c r="P26" s="17" t="str">
        <f aca="false">IF(AND(N26="Paid",L26&lt;&gt;"",E26&lt;&gt;""),L26-E26,"")</f>
        <v/>
      </c>
      <c r="Q26" s="8"/>
    </row>
    <row r="27" customFormat="false" ht="15" hidden="false" customHeight="false" outlineLevel="0" collapsed="false">
      <c r="A27" s="7"/>
      <c r="B27" s="8"/>
      <c r="C27" s="9"/>
      <c r="D27" s="9"/>
      <c r="E27" s="10"/>
      <c r="F27" s="7"/>
      <c r="G27" s="11" t="str">
        <f aca="false">IF(B27="","",IF(F27&lt;&gt;"",F27,IFERROR(INDEX(Settings!$B$5:$B$24,MATCH(D27,Settings!$A$5:$A$24,0)),Settings!$F$5)))</f>
        <v/>
      </c>
      <c r="H27" s="12" t="str">
        <f aca="false">IF(OR(B27="",E27=""),"",E27+G27)</f>
        <v/>
      </c>
      <c r="I27" s="13"/>
      <c r="J27" s="10"/>
      <c r="K27" s="13"/>
      <c r="L27" s="10"/>
      <c r="M27" s="14" t="str">
        <f aca="false">IF(B27="","",N(I27)-N(K27))</f>
        <v/>
      </c>
      <c r="N27" s="15" t="str">
        <f aca="true">IF(B27="","",IF(N(I27)=0,"Enter amount",IF(N(K27)&gt;=I27,"Paid",IF(H27="","Enter date",IF(TODAY()&gt;H27,"Overdue",IF(H27-TODAY()&lt;=Settings!$F$6,"Due Soon",IF(N(K27)&gt;0,"Partially Paid","Not Yet Due")))))))</f>
        <v/>
      </c>
      <c r="O27" s="16" t="str">
        <f aca="true">IF(OR(B27="",H27="",N27="Paid"),"",H27-TODAY())</f>
        <v/>
      </c>
      <c r="P27" s="17" t="str">
        <f aca="false">IF(AND(N27="Paid",L27&lt;&gt;"",E27&lt;&gt;""),L27-E27,"")</f>
        <v/>
      </c>
      <c r="Q27" s="8"/>
    </row>
    <row r="28" customFormat="false" ht="15" hidden="false" customHeight="false" outlineLevel="0" collapsed="false">
      <c r="A28" s="7"/>
      <c r="B28" s="8"/>
      <c r="C28" s="9"/>
      <c r="D28" s="9"/>
      <c r="E28" s="10"/>
      <c r="F28" s="7"/>
      <c r="G28" s="11" t="str">
        <f aca="false">IF(B28="","",IF(F28&lt;&gt;"",F28,IFERROR(INDEX(Settings!$B$5:$B$24,MATCH(D28,Settings!$A$5:$A$24,0)),Settings!$F$5)))</f>
        <v/>
      </c>
      <c r="H28" s="12" t="str">
        <f aca="false">IF(OR(B28="",E28=""),"",E28+G28)</f>
        <v/>
      </c>
      <c r="I28" s="13"/>
      <c r="J28" s="10"/>
      <c r="K28" s="13"/>
      <c r="L28" s="10"/>
      <c r="M28" s="14" t="str">
        <f aca="false">IF(B28="","",N(I28)-N(K28))</f>
        <v/>
      </c>
      <c r="N28" s="15" t="str">
        <f aca="true">IF(B28="","",IF(N(I28)=0,"Enter amount",IF(N(K28)&gt;=I28,"Paid",IF(H28="","Enter date",IF(TODAY()&gt;H28,"Overdue",IF(H28-TODAY()&lt;=Settings!$F$6,"Due Soon",IF(N(K28)&gt;0,"Partially Paid","Not Yet Due")))))))</f>
        <v/>
      </c>
      <c r="O28" s="16" t="str">
        <f aca="true">IF(OR(B28="",H28="",N28="Paid"),"",H28-TODAY())</f>
        <v/>
      </c>
      <c r="P28" s="17" t="str">
        <f aca="false">IF(AND(N28="Paid",L28&lt;&gt;"",E28&lt;&gt;""),L28-E28,"")</f>
        <v/>
      </c>
      <c r="Q28" s="8"/>
    </row>
    <row r="29" customFormat="false" ht="15" hidden="false" customHeight="false" outlineLevel="0" collapsed="false">
      <c r="A29" s="7"/>
      <c r="B29" s="8"/>
      <c r="C29" s="9"/>
      <c r="D29" s="9"/>
      <c r="E29" s="10"/>
      <c r="F29" s="7"/>
      <c r="G29" s="11" t="str">
        <f aca="false">IF(B29="","",IF(F29&lt;&gt;"",F29,IFERROR(INDEX(Settings!$B$5:$B$24,MATCH(D29,Settings!$A$5:$A$24,0)),Settings!$F$5)))</f>
        <v/>
      </c>
      <c r="H29" s="12" t="str">
        <f aca="false">IF(OR(B29="",E29=""),"",E29+G29)</f>
        <v/>
      </c>
      <c r="I29" s="13"/>
      <c r="J29" s="10"/>
      <c r="K29" s="13"/>
      <c r="L29" s="10"/>
      <c r="M29" s="14" t="str">
        <f aca="false">IF(B29="","",N(I29)-N(K29))</f>
        <v/>
      </c>
      <c r="N29" s="15" t="str">
        <f aca="true">IF(B29="","",IF(N(I29)=0,"Enter amount",IF(N(K29)&gt;=I29,"Paid",IF(H29="","Enter date",IF(TODAY()&gt;H29,"Overdue",IF(H29-TODAY()&lt;=Settings!$F$6,"Due Soon",IF(N(K29)&gt;0,"Partially Paid","Not Yet Due")))))))</f>
        <v/>
      </c>
      <c r="O29" s="16" t="str">
        <f aca="true">IF(OR(B29="",H29="",N29="Paid"),"",H29-TODAY())</f>
        <v/>
      </c>
      <c r="P29" s="17" t="str">
        <f aca="false">IF(AND(N29="Paid",L29&lt;&gt;"",E29&lt;&gt;""),L29-E29,"")</f>
        <v/>
      </c>
      <c r="Q29" s="8"/>
    </row>
    <row r="30" customFormat="false" ht="15" hidden="false" customHeight="false" outlineLevel="0" collapsed="false">
      <c r="A30" s="7"/>
      <c r="B30" s="8"/>
      <c r="C30" s="9"/>
      <c r="D30" s="9"/>
      <c r="E30" s="10"/>
      <c r="F30" s="7"/>
      <c r="G30" s="11" t="str">
        <f aca="false">IF(B30="","",IF(F30&lt;&gt;"",F30,IFERROR(INDEX(Settings!$B$5:$B$24,MATCH(D30,Settings!$A$5:$A$24,0)),Settings!$F$5)))</f>
        <v/>
      </c>
      <c r="H30" s="12" t="str">
        <f aca="false">IF(OR(B30="",E30=""),"",E30+G30)</f>
        <v/>
      </c>
      <c r="I30" s="13"/>
      <c r="J30" s="10"/>
      <c r="K30" s="13"/>
      <c r="L30" s="10"/>
      <c r="M30" s="14" t="str">
        <f aca="false">IF(B30="","",N(I30)-N(K30))</f>
        <v/>
      </c>
      <c r="N30" s="15" t="str">
        <f aca="true">IF(B30="","",IF(N(I30)=0,"Enter amount",IF(N(K30)&gt;=I30,"Paid",IF(H30="","Enter date",IF(TODAY()&gt;H30,"Overdue",IF(H30-TODAY()&lt;=Settings!$F$6,"Due Soon",IF(N(K30)&gt;0,"Partially Paid","Not Yet Due")))))))</f>
        <v/>
      </c>
      <c r="O30" s="16" t="str">
        <f aca="true">IF(OR(B30="",H30="",N30="Paid"),"",H30-TODAY())</f>
        <v/>
      </c>
      <c r="P30" s="17" t="str">
        <f aca="false">IF(AND(N30="Paid",L30&lt;&gt;"",E30&lt;&gt;""),L30-E30,"")</f>
        <v/>
      </c>
      <c r="Q30" s="8"/>
    </row>
    <row r="31" customFormat="false" ht="15" hidden="false" customHeight="false" outlineLevel="0" collapsed="false">
      <c r="A31" s="7"/>
      <c r="B31" s="8"/>
      <c r="C31" s="9"/>
      <c r="D31" s="9"/>
      <c r="E31" s="10"/>
      <c r="F31" s="7"/>
      <c r="G31" s="11" t="str">
        <f aca="false">IF(B31="","",IF(F31&lt;&gt;"",F31,IFERROR(INDEX(Settings!$B$5:$B$24,MATCH(D31,Settings!$A$5:$A$24,0)),Settings!$F$5)))</f>
        <v/>
      </c>
      <c r="H31" s="12" t="str">
        <f aca="false">IF(OR(B31="",E31=""),"",E31+G31)</f>
        <v/>
      </c>
      <c r="I31" s="13"/>
      <c r="J31" s="10"/>
      <c r="K31" s="13"/>
      <c r="L31" s="10"/>
      <c r="M31" s="14" t="str">
        <f aca="false">IF(B31="","",N(I31)-N(K31))</f>
        <v/>
      </c>
      <c r="N31" s="15" t="str">
        <f aca="true">IF(B31="","",IF(N(I31)=0,"Enter amount",IF(N(K31)&gt;=I31,"Paid",IF(H31="","Enter date",IF(TODAY()&gt;H31,"Overdue",IF(H31-TODAY()&lt;=Settings!$F$6,"Due Soon",IF(N(K31)&gt;0,"Partially Paid","Not Yet Due")))))))</f>
        <v/>
      </c>
      <c r="O31" s="16" t="str">
        <f aca="true">IF(OR(B31="",H31="",N31="Paid"),"",H31-TODAY())</f>
        <v/>
      </c>
      <c r="P31" s="17" t="str">
        <f aca="false">IF(AND(N31="Paid",L31&lt;&gt;"",E31&lt;&gt;""),L31-E31,"")</f>
        <v/>
      </c>
      <c r="Q31" s="8"/>
    </row>
    <row r="32" customFormat="false" ht="15" hidden="false" customHeight="false" outlineLevel="0" collapsed="false">
      <c r="A32" s="7"/>
      <c r="B32" s="8"/>
      <c r="C32" s="9"/>
      <c r="D32" s="9"/>
      <c r="E32" s="10"/>
      <c r="F32" s="7"/>
      <c r="G32" s="11" t="str">
        <f aca="false">IF(B32="","",IF(F32&lt;&gt;"",F32,IFERROR(INDEX(Settings!$B$5:$B$24,MATCH(D32,Settings!$A$5:$A$24,0)),Settings!$F$5)))</f>
        <v/>
      </c>
      <c r="H32" s="12" t="str">
        <f aca="false">IF(OR(B32="",E32=""),"",E32+G32)</f>
        <v/>
      </c>
      <c r="I32" s="13"/>
      <c r="J32" s="10"/>
      <c r="K32" s="13"/>
      <c r="L32" s="10"/>
      <c r="M32" s="14" t="str">
        <f aca="false">IF(B32="","",N(I32)-N(K32))</f>
        <v/>
      </c>
      <c r="N32" s="15" t="str">
        <f aca="true">IF(B32="","",IF(N(I32)=0,"Enter amount",IF(N(K32)&gt;=I32,"Paid",IF(H32="","Enter date",IF(TODAY()&gt;H32,"Overdue",IF(H32-TODAY()&lt;=Settings!$F$6,"Due Soon",IF(N(K32)&gt;0,"Partially Paid","Not Yet Due")))))))</f>
        <v/>
      </c>
      <c r="O32" s="16" t="str">
        <f aca="true">IF(OR(B32="",H32="",N32="Paid"),"",H32-TODAY())</f>
        <v/>
      </c>
      <c r="P32" s="17" t="str">
        <f aca="false">IF(AND(N32="Paid",L32&lt;&gt;"",E32&lt;&gt;""),L32-E32,"")</f>
        <v/>
      </c>
      <c r="Q32" s="8"/>
    </row>
    <row r="33" customFormat="false" ht="15" hidden="false" customHeight="false" outlineLevel="0" collapsed="false">
      <c r="A33" s="7"/>
      <c r="B33" s="8"/>
      <c r="C33" s="9"/>
      <c r="D33" s="9"/>
      <c r="E33" s="10"/>
      <c r="F33" s="7"/>
      <c r="G33" s="11" t="str">
        <f aca="false">IF(B33="","",IF(F33&lt;&gt;"",F33,IFERROR(INDEX(Settings!$B$5:$B$24,MATCH(D33,Settings!$A$5:$A$24,0)),Settings!$F$5)))</f>
        <v/>
      </c>
      <c r="H33" s="12" t="str">
        <f aca="false">IF(OR(B33="",E33=""),"",E33+G33)</f>
        <v/>
      </c>
      <c r="I33" s="13"/>
      <c r="J33" s="10"/>
      <c r="K33" s="13"/>
      <c r="L33" s="10"/>
      <c r="M33" s="14" t="str">
        <f aca="false">IF(B33="","",N(I33)-N(K33))</f>
        <v/>
      </c>
      <c r="N33" s="15" t="str">
        <f aca="true">IF(B33="","",IF(N(I33)=0,"Enter amount",IF(N(K33)&gt;=I33,"Paid",IF(H33="","Enter date",IF(TODAY()&gt;H33,"Overdue",IF(H33-TODAY()&lt;=Settings!$F$6,"Due Soon",IF(N(K33)&gt;0,"Partially Paid","Not Yet Due")))))))</f>
        <v/>
      </c>
      <c r="O33" s="16" t="str">
        <f aca="true">IF(OR(B33="",H33="",N33="Paid"),"",H33-TODAY())</f>
        <v/>
      </c>
      <c r="P33" s="17" t="str">
        <f aca="false">IF(AND(N33="Paid",L33&lt;&gt;"",E33&lt;&gt;""),L33-E33,"")</f>
        <v/>
      </c>
      <c r="Q33" s="8"/>
    </row>
    <row r="34" customFormat="false" ht="15" hidden="false" customHeight="false" outlineLevel="0" collapsed="false">
      <c r="A34" s="7"/>
      <c r="B34" s="8"/>
      <c r="C34" s="9"/>
      <c r="D34" s="9"/>
      <c r="E34" s="10"/>
      <c r="F34" s="7"/>
      <c r="G34" s="11" t="str">
        <f aca="false">IF(B34="","",IF(F34&lt;&gt;"",F34,IFERROR(INDEX(Settings!$B$5:$B$24,MATCH(D34,Settings!$A$5:$A$24,0)),Settings!$F$5)))</f>
        <v/>
      </c>
      <c r="H34" s="12" t="str">
        <f aca="false">IF(OR(B34="",E34=""),"",E34+G34)</f>
        <v/>
      </c>
      <c r="I34" s="13"/>
      <c r="J34" s="10"/>
      <c r="K34" s="13"/>
      <c r="L34" s="10"/>
      <c r="M34" s="14" t="str">
        <f aca="false">IF(B34="","",N(I34)-N(K34))</f>
        <v/>
      </c>
      <c r="N34" s="15" t="str">
        <f aca="true">IF(B34="","",IF(N(I34)=0,"Enter amount",IF(N(K34)&gt;=I34,"Paid",IF(H34="","Enter date",IF(TODAY()&gt;H34,"Overdue",IF(H34-TODAY()&lt;=Settings!$F$6,"Due Soon",IF(N(K34)&gt;0,"Partially Paid","Not Yet Due")))))))</f>
        <v/>
      </c>
      <c r="O34" s="16" t="str">
        <f aca="true">IF(OR(B34="",H34="",N34="Paid"),"",H34-TODAY())</f>
        <v/>
      </c>
      <c r="P34" s="17" t="str">
        <f aca="false">IF(AND(N34="Paid",L34&lt;&gt;"",E34&lt;&gt;""),L34-E34,"")</f>
        <v/>
      </c>
      <c r="Q34" s="8"/>
    </row>
    <row r="35" customFormat="false" ht="15" hidden="false" customHeight="false" outlineLevel="0" collapsed="false">
      <c r="A35" s="7"/>
      <c r="B35" s="8"/>
      <c r="C35" s="9"/>
      <c r="D35" s="9"/>
      <c r="E35" s="10"/>
      <c r="F35" s="7"/>
      <c r="G35" s="11" t="str">
        <f aca="false">IF(B35="","",IF(F35&lt;&gt;"",F35,IFERROR(INDEX(Settings!$B$5:$B$24,MATCH(D35,Settings!$A$5:$A$24,0)),Settings!$F$5)))</f>
        <v/>
      </c>
      <c r="H35" s="12" t="str">
        <f aca="false">IF(OR(B35="",E35=""),"",E35+G35)</f>
        <v/>
      </c>
      <c r="I35" s="13"/>
      <c r="J35" s="10"/>
      <c r="K35" s="13"/>
      <c r="L35" s="10"/>
      <c r="M35" s="14" t="str">
        <f aca="false">IF(B35="","",N(I35)-N(K35))</f>
        <v/>
      </c>
      <c r="N35" s="15" t="str">
        <f aca="true">IF(B35="","",IF(N(I35)=0,"Enter amount",IF(N(K35)&gt;=I35,"Paid",IF(H35="","Enter date",IF(TODAY()&gt;H35,"Overdue",IF(H35-TODAY()&lt;=Settings!$F$6,"Due Soon",IF(N(K35)&gt;0,"Partially Paid","Not Yet Due")))))))</f>
        <v/>
      </c>
      <c r="O35" s="16" t="str">
        <f aca="true">IF(OR(B35="",H35="",N35="Paid"),"",H35-TODAY())</f>
        <v/>
      </c>
      <c r="P35" s="17" t="str">
        <f aca="false">IF(AND(N35="Paid",L35&lt;&gt;"",E35&lt;&gt;""),L35-E35,"")</f>
        <v/>
      </c>
      <c r="Q35" s="8"/>
    </row>
    <row r="36" customFormat="false" ht="15" hidden="false" customHeight="false" outlineLevel="0" collapsed="false">
      <c r="A36" s="7"/>
      <c r="B36" s="8"/>
      <c r="C36" s="9"/>
      <c r="D36" s="9"/>
      <c r="E36" s="10"/>
      <c r="F36" s="7"/>
      <c r="G36" s="11" t="str">
        <f aca="false">IF(B36="","",IF(F36&lt;&gt;"",F36,IFERROR(INDEX(Settings!$B$5:$B$24,MATCH(D36,Settings!$A$5:$A$24,0)),Settings!$F$5)))</f>
        <v/>
      </c>
      <c r="H36" s="12" t="str">
        <f aca="false">IF(OR(B36="",E36=""),"",E36+G36)</f>
        <v/>
      </c>
      <c r="I36" s="13"/>
      <c r="J36" s="10"/>
      <c r="K36" s="13"/>
      <c r="L36" s="10"/>
      <c r="M36" s="14" t="str">
        <f aca="false">IF(B36="","",N(I36)-N(K36))</f>
        <v/>
      </c>
      <c r="N36" s="15" t="str">
        <f aca="true">IF(B36="","",IF(N(I36)=0,"Enter amount",IF(N(K36)&gt;=I36,"Paid",IF(H36="","Enter date",IF(TODAY()&gt;H36,"Overdue",IF(H36-TODAY()&lt;=Settings!$F$6,"Due Soon",IF(N(K36)&gt;0,"Partially Paid","Not Yet Due")))))))</f>
        <v/>
      </c>
      <c r="O36" s="16" t="str">
        <f aca="true">IF(OR(B36="",H36="",N36="Paid"),"",H36-TODAY())</f>
        <v/>
      </c>
      <c r="P36" s="17" t="str">
        <f aca="false">IF(AND(N36="Paid",L36&lt;&gt;"",E36&lt;&gt;""),L36-E36,"")</f>
        <v/>
      </c>
      <c r="Q36" s="8"/>
    </row>
    <row r="37" customFormat="false" ht="15" hidden="false" customHeight="false" outlineLevel="0" collapsed="false">
      <c r="A37" s="7"/>
      <c r="B37" s="8"/>
      <c r="C37" s="9"/>
      <c r="D37" s="9"/>
      <c r="E37" s="10"/>
      <c r="F37" s="7"/>
      <c r="G37" s="11" t="str">
        <f aca="false">IF(B37="","",IF(F37&lt;&gt;"",F37,IFERROR(INDEX(Settings!$B$5:$B$24,MATCH(D37,Settings!$A$5:$A$24,0)),Settings!$F$5)))</f>
        <v/>
      </c>
      <c r="H37" s="12" t="str">
        <f aca="false">IF(OR(B37="",E37=""),"",E37+G37)</f>
        <v/>
      </c>
      <c r="I37" s="13"/>
      <c r="J37" s="10"/>
      <c r="K37" s="13"/>
      <c r="L37" s="10"/>
      <c r="M37" s="14" t="str">
        <f aca="false">IF(B37="","",N(I37)-N(K37))</f>
        <v/>
      </c>
      <c r="N37" s="15" t="str">
        <f aca="true">IF(B37="","",IF(N(I37)=0,"Enter amount",IF(N(K37)&gt;=I37,"Paid",IF(H37="","Enter date",IF(TODAY()&gt;H37,"Overdue",IF(H37-TODAY()&lt;=Settings!$F$6,"Due Soon",IF(N(K37)&gt;0,"Partially Paid","Not Yet Due")))))))</f>
        <v/>
      </c>
      <c r="O37" s="16" t="str">
        <f aca="true">IF(OR(B37="",H37="",N37="Paid"),"",H37-TODAY())</f>
        <v/>
      </c>
      <c r="P37" s="17" t="str">
        <f aca="false">IF(AND(N37="Paid",L37&lt;&gt;"",E37&lt;&gt;""),L37-E37,"")</f>
        <v/>
      </c>
      <c r="Q37" s="8"/>
    </row>
    <row r="38" customFormat="false" ht="15" hidden="false" customHeight="false" outlineLevel="0" collapsed="false">
      <c r="A38" s="7"/>
      <c r="B38" s="8"/>
      <c r="C38" s="9"/>
      <c r="D38" s="9"/>
      <c r="E38" s="10"/>
      <c r="F38" s="7"/>
      <c r="G38" s="11" t="str">
        <f aca="false">IF(B38="","",IF(F38&lt;&gt;"",F38,IFERROR(INDEX(Settings!$B$5:$B$24,MATCH(D38,Settings!$A$5:$A$24,0)),Settings!$F$5)))</f>
        <v/>
      </c>
      <c r="H38" s="12" t="str">
        <f aca="false">IF(OR(B38="",E38=""),"",E38+G38)</f>
        <v/>
      </c>
      <c r="I38" s="13"/>
      <c r="J38" s="10"/>
      <c r="K38" s="13"/>
      <c r="L38" s="10"/>
      <c r="M38" s="14" t="str">
        <f aca="false">IF(B38="","",N(I38)-N(K38))</f>
        <v/>
      </c>
      <c r="N38" s="15" t="str">
        <f aca="true">IF(B38="","",IF(N(I38)=0,"Enter amount",IF(N(K38)&gt;=I38,"Paid",IF(H38="","Enter date",IF(TODAY()&gt;H38,"Overdue",IF(H38-TODAY()&lt;=Settings!$F$6,"Due Soon",IF(N(K38)&gt;0,"Partially Paid","Not Yet Due")))))))</f>
        <v/>
      </c>
      <c r="O38" s="16" t="str">
        <f aca="true">IF(OR(B38="",H38="",N38="Paid"),"",H38-TODAY())</f>
        <v/>
      </c>
      <c r="P38" s="17" t="str">
        <f aca="false">IF(AND(N38="Paid",L38&lt;&gt;"",E38&lt;&gt;""),L38-E38,"")</f>
        <v/>
      </c>
      <c r="Q38" s="8"/>
    </row>
    <row r="39" customFormat="false" ht="15" hidden="false" customHeight="false" outlineLevel="0" collapsed="false">
      <c r="A39" s="7"/>
      <c r="B39" s="8"/>
      <c r="C39" s="9"/>
      <c r="D39" s="9"/>
      <c r="E39" s="10"/>
      <c r="F39" s="7"/>
      <c r="G39" s="11" t="str">
        <f aca="false">IF(B39="","",IF(F39&lt;&gt;"",F39,IFERROR(INDEX(Settings!$B$5:$B$24,MATCH(D39,Settings!$A$5:$A$24,0)),Settings!$F$5)))</f>
        <v/>
      </c>
      <c r="H39" s="12" t="str">
        <f aca="false">IF(OR(B39="",E39=""),"",E39+G39)</f>
        <v/>
      </c>
      <c r="I39" s="13"/>
      <c r="J39" s="10"/>
      <c r="K39" s="13"/>
      <c r="L39" s="10"/>
      <c r="M39" s="14" t="str">
        <f aca="false">IF(B39="","",N(I39)-N(K39))</f>
        <v/>
      </c>
      <c r="N39" s="15" t="str">
        <f aca="true">IF(B39="","",IF(N(I39)=0,"Enter amount",IF(N(K39)&gt;=I39,"Paid",IF(H39="","Enter date",IF(TODAY()&gt;H39,"Overdue",IF(H39-TODAY()&lt;=Settings!$F$6,"Due Soon",IF(N(K39)&gt;0,"Partially Paid","Not Yet Due")))))))</f>
        <v/>
      </c>
      <c r="O39" s="16" t="str">
        <f aca="true">IF(OR(B39="",H39="",N39="Paid"),"",H39-TODAY())</f>
        <v/>
      </c>
      <c r="P39" s="17" t="str">
        <f aca="false">IF(AND(N39="Paid",L39&lt;&gt;"",E39&lt;&gt;""),L39-E39,"")</f>
        <v/>
      </c>
      <c r="Q39" s="8"/>
    </row>
    <row r="40" customFormat="false" ht="15" hidden="false" customHeight="false" outlineLevel="0" collapsed="false">
      <c r="A40" s="7"/>
      <c r="B40" s="8"/>
      <c r="C40" s="9"/>
      <c r="D40" s="9"/>
      <c r="E40" s="10"/>
      <c r="F40" s="7"/>
      <c r="G40" s="11" t="str">
        <f aca="false">IF(B40="","",IF(F40&lt;&gt;"",F40,IFERROR(INDEX(Settings!$B$5:$B$24,MATCH(D40,Settings!$A$5:$A$24,0)),Settings!$F$5)))</f>
        <v/>
      </c>
      <c r="H40" s="12" t="str">
        <f aca="false">IF(OR(B40="",E40=""),"",E40+G40)</f>
        <v/>
      </c>
      <c r="I40" s="13"/>
      <c r="J40" s="10"/>
      <c r="K40" s="13"/>
      <c r="L40" s="10"/>
      <c r="M40" s="14" t="str">
        <f aca="false">IF(B40="","",N(I40)-N(K40))</f>
        <v/>
      </c>
      <c r="N40" s="15" t="str">
        <f aca="true">IF(B40="","",IF(N(I40)=0,"Enter amount",IF(N(K40)&gt;=I40,"Paid",IF(H40="","Enter date",IF(TODAY()&gt;H40,"Overdue",IF(H40-TODAY()&lt;=Settings!$F$6,"Due Soon",IF(N(K40)&gt;0,"Partially Paid","Not Yet Due")))))))</f>
        <v/>
      </c>
      <c r="O40" s="16" t="str">
        <f aca="true">IF(OR(B40="",H40="",N40="Paid"),"",H40-TODAY())</f>
        <v/>
      </c>
      <c r="P40" s="17" t="str">
        <f aca="false">IF(AND(N40="Paid",L40&lt;&gt;"",E40&lt;&gt;""),L40-E40,"")</f>
        <v/>
      </c>
      <c r="Q40" s="8"/>
    </row>
    <row r="41" customFormat="false" ht="15" hidden="false" customHeight="false" outlineLevel="0" collapsed="false">
      <c r="A41" s="7"/>
      <c r="B41" s="8"/>
      <c r="C41" s="9"/>
      <c r="D41" s="9"/>
      <c r="E41" s="10"/>
      <c r="F41" s="7"/>
      <c r="G41" s="11" t="str">
        <f aca="false">IF(B41="","",IF(F41&lt;&gt;"",F41,IFERROR(INDEX(Settings!$B$5:$B$24,MATCH(D41,Settings!$A$5:$A$24,0)),Settings!$F$5)))</f>
        <v/>
      </c>
      <c r="H41" s="12" t="str">
        <f aca="false">IF(OR(B41="",E41=""),"",E41+G41)</f>
        <v/>
      </c>
      <c r="I41" s="13"/>
      <c r="J41" s="10"/>
      <c r="K41" s="13"/>
      <c r="L41" s="10"/>
      <c r="M41" s="14" t="str">
        <f aca="false">IF(B41="","",N(I41)-N(K41))</f>
        <v/>
      </c>
      <c r="N41" s="15" t="str">
        <f aca="true">IF(B41="","",IF(N(I41)=0,"Enter amount",IF(N(K41)&gt;=I41,"Paid",IF(H41="","Enter date",IF(TODAY()&gt;H41,"Overdue",IF(H41-TODAY()&lt;=Settings!$F$6,"Due Soon",IF(N(K41)&gt;0,"Partially Paid","Not Yet Due")))))))</f>
        <v/>
      </c>
      <c r="O41" s="16" t="str">
        <f aca="true">IF(OR(B41="",H41="",N41="Paid"),"",H41-TODAY())</f>
        <v/>
      </c>
      <c r="P41" s="17" t="str">
        <f aca="false">IF(AND(N41="Paid",L41&lt;&gt;"",E41&lt;&gt;""),L41-E41,"")</f>
        <v/>
      </c>
      <c r="Q41" s="8"/>
    </row>
    <row r="42" customFormat="false" ht="15" hidden="false" customHeight="false" outlineLevel="0" collapsed="false">
      <c r="A42" s="7"/>
      <c r="B42" s="8"/>
      <c r="C42" s="9"/>
      <c r="D42" s="9"/>
      <c r="E42" s="10"/>
      <c r="F42" s="7"/>
      <c r="G42" s="11" t="str">
        <f aca="false">IF(B42="","",IF(F42&lt;&gt;"",F42,IFERROR(INDEX(Settings!$B$5:$B$24,MATCH(D42,Settings!$A$5:$A$24,0)),Settings!$F$5)))</f>
        <v/>
      </c>
      <c r="H42" s="12" t="str">
        <f aca="false">IF(OR(B42="",E42=""),"",E42+G42)</f>
        <v/>
      </c>
      <c r="I42" s="13"/>
      <c r="J42" s="10"/>
      <c r="K42" s="13"/>
      <c r="L42" s="10"/>
      <c r="M42" s="14" t="str">
        <f aca="false">IF(B42="","",N(I42)-N(K42))</f>
        <v/>
      </c>
      <c r="N42" s="15" t="str">
        <f aca="true">IF(B42="","",IF(N(I42)=0,"Enter amount",IF(N(K42)&gt;=I42,"Paid",IF(H42="","Enter date",IF(TODAY()&gt;H42,"Overdue",IF(H42-TODAY()&lt;=Settings!$F$6,"Due Soon",IF(N(K42)&gt;0,"Partially Paid","Not Yet Due")))))))</f>
        <v/>
      </c>
      <c r="O42" s="16" t="str">
        <f aca="true">IF(OR(B42="",H42="",N42="Paid"),"",H42-TODAY())</f>
        <v/>
      </c>
      <c r="P42" s="17" t="str">
        <f aca="false">IF(AND(N42="Paid",L42&lt;&gt;"",E42&lt;&gt;""),L42-E42,"")</f>
        <v/>
      </c>
      <c r="Q42" s="8"/>
    </row>
    <row r="43" customFormat="false" ht="15" hidden="false" customHeight="false" outlineLevel="0" collapsed="false">
      <c r="A43" s="7"/>
      <c r="B43" s="8"/>
      <c r="C43" s="9"/>
      <c r="D43" s="9"/>
      <c r="E43" s="10"/>
      <c r="F43" s="7"/>
      <c r="G43" s="11" t="str">
        <f aca="false">IF(B43="","",IF(F43&lt;&gt;"",F43,IFERROR(INDEX(Settings!$B$5:$B$24,MATCH(D43,Settings!$A$5:$A$24,0)),Settings!$F$5)))</f>
        <v/>
      </c>
      <c r="H43" s="12" t="str">
        <f aca="false">IF(OR(B43="",E43=""),"",E43+G43)</f>
        <v/>
      </c>
      <c r="I43" s="13"/>
      <c r="J43" s="10"/>
      <c r="K43" s="13"/>
      <c r="L43" s="10"/>
      <c r="M43" s="14" t="str">
        <f aca="false">IF(B43="","",N(I43)-N(K43))</f>
        <v/>
      </c>
      <c r="N43" s="15" t="str">
        <f aca="true">IF(B43="","",IF(N(I43)=0,"Enter amount",IF(N(K43)&gt;=I43,"Paid",IF(H43="","Enter date",IF(TODAY()&gt;H43,"Overdue",IF(H43-TODAY()&lt;=Settings!$F$6,"Due Soon",IF(N(K43)&gt;0,"Partially Paid","Not Yet Due")))))))</f>
        <v/>
      </c>
      <c r="O43" s="16" t="str">
        <f aca="true">IF(OR(B43="",H43="",N43="Paid"),"",H43-TODAY())</f>
        <v/>
      </c>
      <c r="P43" s="17" t="str">
        <f aca="false">IF(AND(N43="Paid",L43&lt;&gt;"",E43&lt;&gt;""),L43-E43,"")</f>
        <v/>
      </c>
      <c r="Q43" s="8"/>
    </row>
    <row r="44" customFormat="false" ht="15" hidden="false" customHeight="false" outlineLevel="0" collapsed="false">
      <c r="A44" s="7"/>
      <c r="B44" s="8"/>
      <c r="C44" s="9"/>
      <c r="D44" s="9"/>
      <c r="E44" s="10"/>
      <c r="F44" s="7"/>
      <c r="G44" s="11" t="str">
        <f aca="false">IF(B44="","",IF(F44&lt;&gt;"",F44,IFERROR(INDEX(Settings!$B$5:$B$24,MATCH(D44,Settings!$A$5:$A$24,0)),Settings!$F$5)))</f>
        <v/>
      </c>
      <c r="H44" s="12" t="str">
        <f aca="false">IF(OR(B44="",E44=""),"",E44+G44)</f>
        <v/>
      </c>
      <c r="I44" s="13"/>
      <c r="J44" s="10"/>
      <c r="K44" s="13"/>
      <c r="L44" s="10"/>
      <c r="M44" s="14" t="str">
        <f aca="false">IF(B44="","",N(I44)-N(K44))</f>
        <v/>
      </c>
      <c r="N44" s="15" t="str">
        <f aca="true">IF(B44="","",IF(N(I44)=0,"Enter amount",IF(N(K44)&gt;=I44,"Paid",IF(H44="","Enter date",IF(TODAY()&gt;H44,"Overdue",IF(H44-TODAY()&lt;=Settings!$F$6,"Due Soon",IF(N(K44)&gt;0,"Partially Paid","Not Yet Due")))))))</f>
        <v/>
      </c>
      <c r="O44" s="16" t="str">
        <f aca="true">IF(OR(B44="",H44="",N44="Paid"),"",H44-TODAY())</f>
        <v/>
      </c>
      <c r="P44" s="17" t="str">
        <f aca="false">IF(AND(N44="Paid",L44&lt;&gt;"",E44&lt;&gt;""),L44-E44,"")</f>
        <v/>
      </c>
      <c r="Q44" s="8"/>
    </row>
    <row r="45" customFormat="false" ht="15" hidden="false" customHeight="false" outlineLevel="0" collapsed="false">
      <c r="A45" s="7"/>
      <c r="B45" s="8"/>
      <c r="C45" s="9"/>
      <c r="D45" s="9"/>
      <c r="E45" s="10"/>
      <c r="F45" s="7"/>
      <c r="G45" s="11" t="str">
        <f aca="false">IF(B45="","",IF(F45&lt;&gt;"",F45,IFERROR(INDEX(Settings!$B$5:$B$24,MATCH(D45,Settings!$A$5:$A$24,0)),Settings!$F$5)))</f>
        <v/>
      </c>
      <c r="H45" s="12" t="str">
        <f aca="false">IF(OR(B45="",E45=""),"",E45+G45)</f>
        <v/>
      </c>
      <c r="I45" s="13"/>
      <c r="J45" s="10"/>
      <c r="K45" s="13"/>
      <c r="L45" s="10"/>
      <c r="M45" s="14" t="str">
        <f aca="false">IF(B45="","",N(I45)-N(K45))</f>
        <v/>
      </c>
      <c r="N45" s="15" t="str">
        <f aca="true">IF(B45="","",IF(N(I45)=0,"Enter amount",IF(N(K45)&gt;=I45,"Paid",IF(H45="","Enter date",IF(TODAY()&gt;H45,"Overdue",IF(H45-TODAY()&lt;=Settings!$F$6,"Due Soon",IF(N(K45)&gt;0,"Partially Paid","Not Yet Due")))))))</f>
        <v/>
      </c>
      <c r="O45" s="16" t="str">
        <f aca="true">IF(OR(B45="",H45="",N45="Paid"),"",H45-TODAY())</f>
        <v/>
      </c>
      <c r="P45" s="17" t="str">
        <f aca="false">IF(AND(N45="Paid",L45&lt;&gt;"",E45&lt;&gt;""),L45-E45,"")</f>
        <v/>
      </c>
      <c r="Q45" s="8"/>
    </row>
    <row r="46" customFormat="false" ht="15" hidden="false" customHeight="false" outlineLevel="0" collapsed="false">
      <c r="A46" s="7"/>
      <c r="B46" s="8"/>
      <c r="C46" s="9"/>
      <c r="D46" s="9"/>
      <c r="E46" s="10"/>
      <c r="F46" s="7"/>
      <c r="G46" s="11" t="str">
        <f aca="false">IF(B46="","",IF(F46&lt;&gt;"",F46,IFERROR(INDEX(Settings!$B$5:$B$24,MATCH(D46,Settings!$A$5:$A$24,0)),Settings!$F$5)))</f>
        <v/>
      </c>
      <c r="H46" s="12" t="str">
        <f aca="false">IF(OR(B46="",E46=""),"",E46+G46)</f>
        <v/>
      </c>
      <c r="I46" s="13"/>
      <c r="J46" s="10"/>
      <c r="K46" s="13"/>
      <c r="L46" s="10"/>
      <c r="M46" s="14" t="str">
        <f aca="false">IF(B46="","",N(I46)-N(K46))</f>
        <v/>
      </c>
      <c r="N46" s="15" t="str">
        <f aca="true">IF(B46="","",IF(N(I46)=0,"Enter amount",IF(N(K46)&gt;=I46,"Paid",IF(H46="","Enter date",IF(TODAY()&gt;H46,"Overdue",IF(H46-TODAY()&lt;=Settings!$F$6,"Due Soon",IF(N(K46)&gt;0,"Partially Paid","Not Yet Due")))))))</f>
        <v/>
      </c>
      <c r="O46" s="16" t="str">
        <f aca="true">IF(OR(B46="",H46="",N46="Paid"),"",H46-TODAY())</f>
        <v/>
      </c>
      <c r="P46" s="17" t="str">
        <f aca="false">IF(AND(N46="Paid",L46&lt;&gt;"",E46&lt;&gt;""),L46-E46,"")</f>
        <v/>
      </c>
      <c r="Q46" s="8"/>
    </row>
    <row r="47" customFormat="false" ht="15" hidden="false" customHeight="false" outlineLevel="0" collapsed="false">
      <c r="A47" s="7"/>
      <c r="B47" s="8"/>
      <c r="C47" s="9"/>
      <c r="D47" s="9"/>
      <c r="E47" s="10"/>
      <c r="F47" s="7"/>
      <c r="G47" s="11" t="str">
        <f aca="false">IF(B47="","",IF(F47&lt;&gt;"",F47,IFERROR(INDEX(Settings!$B$5:$B$24,MATCH(D47,Settings!$A$5:$A$24,0)),Settings!$F$5)))</f>
        <v/>
      </c>
      <c r="H47" s="12" t="str">
        <f aca="false">IF(OR(B47="",E47=""),"",E47+G47)</f>
        <v/>
      </c>
      <c r="I47" s="13"/>
      <c r="J47" s="10"/>
      <c r="K47" s="13"/>
      <c r="L47" s="10"/>
      <c r="M47" s="14" t="str">
        <f aca="false">IF(B47="","",N(I47)-N(K47))</f>
        <v/>
      </c>
      <c r="N47" s="15" t="str">
        <f aca="true">IF(B47="","",IF(N(I47)=0,"Enter amount",IF(N(K47)&gt;=I47,"Paid",IF(H47="","Enter date",IF(TODAY()&gt;H47,"Overdue",IF(H47-TODAY()&lt;=Settings!$F$6,"Due Soon",IF(N(K47)&gt;0,"Partially Paid","Not Yet Due")))))))</f>
        <v/>
      </c>
      <c r="O47" s="16" t="str">
        <f aca="true">IF(OR(B47="",H47="",N47="Paid"),"",H47-TODAY())</f>
        <v/>
      </c>
      <c r="P47" s="17" t="str">
        <f aca="false">IF(AND(N47="Paid",L47&lt;&gt;"",E47&lt;&gt;""),L47-E47,"")</f>
        <v/>
      </c>
      <c r="Q47" s="8"/>
    </row>
    <row r="48" customFormat="false" ht="15" hidden="false" customHeight="false" outlineLevel="0" collapsed="false">
      <c r="A48" s="7"/>
      <c r="B48" s="8"/>
      <c r="C48" s="9"/>
      <c r="D48" s="9"/>
      <c r="E48" s="10"/>
      <c r="F48" s="7"/>
      <c r="G48" s="11" t="str">
        <f aca="false">IF(B48="","",IF(F48&lt;&gt;"",F48,IFERROR(INDEX(Settings!$B$5:$B$24,MATCH(D48,Settings!$A$5:$A$24,0)),Settings!$F$5)))</f>
        <v/>
      </c>
      <c r="H48" s="12" t="str">
        <f aca="false">IF(OR(B48="",E48=""),"",E48+G48)</f>
        <v/>
      </c>
      <c r="I48" s="13"/>
      <c r="J48" s="10"/>
      <c r="K48" s="13"/>
      <c r="L48" s="10"/>
      <c r="M48" s="14" t="str">
        <f aca="false">IF(B48="","",N(I48)-N(K48))</f>
        <v/>
      </c>
      <c r="N48" s="15" t="str">
        <f aca="true">IF(B48="","",IF(N(I48)=0,"Enter amount",IF(N(K48)&gt;=I48,"Paid",IF(H48="","Enter date",IF(TODAY()&gt;H48,"Overdue",IF(H48-TODAY()&lt;=Settings!$F$6,"Due Soon",IF(N(K48)&gt;0,"Partially Paid","Not Yet Due")))))))</f>
        <v/>
      </c>
      <c r="O48" s="16" t="str">
        <f aca="true">IF(OR(B48="",H48="",N48="Paid"),"",H48-TODAY())</f>
        <v/>
      </c>
      <c r="P48" s="17" t="str">
        <f aca="false">IF(AND(N48="Paid",L48&lt;&gt;"",E48&lt;&gt;""),L48-E48,"")</f>
        <v/>
      </c>
      <c r="Q48" s="8"/>
    </row>
    <row r="49" customFormat="false" ht="15" hidden="false" customHeight="false" outlineLevel="0" collapsed="false">
      <c r="A49" s="7"/>
      <c r="B49" s="8"/>
      <c r="C49" s="9"/>
      <c r="D49" s="9"/>
      <c r="E49" s="10"/>
      <c r="F49" s="7"/>
      <c r="G49" s="11" t="str">
        <f aca="false">IF(B49="","",IF(F49&lt;&gt;"",F49,IFERROR(INDEX(Settings!$B$5:$B$24,MATCH(D49,Settings!$A$5:$A$24,0)),Settings!$F$5)))</f>
        <v/>
      </c>
      <c r="H49" s="12" t="str">
        <f aca="false">IF(OR(B49="",E49=""),"",E49+G49)</f>
        <v/>
      </c>
      <c r="I49" s="13"/>
      <c r="J49" s="10"/>
      <c r="K49" s="13"/>
      <c r="L49" s="10"/>
      <c r="M49" s="14" t="str">
        <f aca="false">IF(B49="","",N(I49)-N(K49))</f>
        <v/>
      </c>
      <c r="N49" s="15" t="str">
        <f aca="true">IF(B49="","",IF(N(I49)=0,"Enter amount",IF(N(K49)&gt;=I49,"Paid",IF(H49="","Enter date",IF(TODAY()&gt;H49,"Overdue",IF(H49-TODAY()&lt;=Settings!$F$6,"Due Soon",IF(N(K49)&gt;0,"Partially Paid","Not Yet Due")))))))</f>
        <v/>
      </c>
      <c r="O49" s="16" t="str">
        <f aca="true">IF(OR(B49="",H49="",N49="Paid"),"",H49-TODAY())</f>
        <v/>
      </c>
      <c r="P49" s="17" t="str">
        <f aca="false">IF(AND(N49="Paid",L49&lt;&gt;"",E49&lt;&gt;""),L49-E49,"")</f>
        <v/>
      </c>
      <c r="Q49" s="8"/>
    </row>
    <row r="50" customFormat="false" ht="15" hidden="false" customHeight="false" outlineLevel="0" collapsed="false">
      <c r="A50" s="7"/>
      <c r="B50" s="8"/>
      <c r="C50" s="9"/>
      <c r="D50" s="9"/>
      <c r="E50" s="10"/>
      <c r="F50" s="7"/>
      <c r="G50" s="11" t="str">
        <f aca="false">IF(B50="","",IF(F50&lt;&gt;"",F50,IFERROR(INDEX(Settings!$B$5:$B$24,MATCH(D50,Settings!$A$5:$A$24,0)),Settings!$F$5)))</f>
        <v/>
      </c>
      <c r="H50" s="12" t="str">
        <f aca="false">IF(OR(B50="",E50=""),"",E50+G50)</f>
        <v/>
      </c>
      <c r="I50" s="13"/>
      <c r="J50" s="10"/>
      <c r="K50" s="13"/>
      <c r="L50" s="10"/>
      <c r="M50" s="14" t="str">
        <f aca="false">IF(B50="","",N(I50)-N(K50))</f>
        <v/>
      </c>
      <c r="N50" s="15" t="str">
        <f aca="true">IF(B50="","",IF(N(I50)=0,"Enter amount",IF(N(K50)&gt;=I50,"Paid",IF(H50="","Enter date",IF(TODAY()&gt;H50,"Overdue",IF(H50-TODAY()&lt;=Settings!$F$6,"Due Soon",IF(N(K50)&gt;0,"Partially Paid","Not Yet Due")))))))</f>
        <v/>
      </c>
      <c r="O50" s="16" t="str">
        <f aca="true">IF(OR(B50="",H50="",N50="Paid"),"",H50-TODAY())</f>
        <v/>
      </c>
      <c r="P50" s="17" t="str">
        <f aca="false">IF(AND(N50="Paid",L50&lt;&gt;"",E50&lt;&gt;""),L50-E50,"")</f>
        <v/>
      </c>
      <c r="Q50" s="8"/>
    </row>
    <row r="51" customFormat="false" ht="15" hidden="false" customHeight="false" outlineLevel="0" collapsed="false">
      <c r="A51" s="7"/>
      <c r="B51" s="8"/>
      <c r="C51" s="9"/>
      <c r="D51" s="9"/>
      <c r="E51" s="10"/>
      <c r="F51" s="7"/>
      <c r="G51" s="11" t="str">
        <f aca="false">IF(B51="","",IF(F51&lt;&gt;"",F51,IFERROR(INDEX(Settings!$B$5:$B$24,MATCH(D51,Settings!$A$5:$A$24,0)),Settings!$F$5)))</f>
        <v/>
      </c>
      <c r="H51" s="12" t="str">
        <f aca="false">IF(OR(B51="",E51=""),"",E51+G51)</f>
        <v/>
      </c>
      <c r="I51" s="13"/>
      <c r="J51" s="10"/>
      <c r="K51" s="13"/>
      <c r="L51" s="10"/>
      <c r="M51" s="14" t="str">
        <f aca="false">IF(B51="","",N(I51)-N(K51))</f>
        <v/>
      </c>
      <c r="N51" s="15" t="str">
        <f aca="true">IF(B51="","",IF(N(I51)=0,"Enter amount",IF(N(K51)&gt;=I51,"Paid",IF(H51="","Enter date",IF(TODAY()&gt;H51,"Overdue",IF(H51-TODAY()&lt;=Settings!$F$6,"Due Soon",IF(N(K51)&gt;0,"Partially Paid","Not Yet Due")))))))</f>
        <v/>
      </c>
      <c r="O51" s="16" t="str">
        <f aca="true">IF(OR(B51="",H51="",N51="Paid"),"",H51-TODAY())</f>
        <v/>
      </c>
      <c r="P51" s="17" t="str">
        <f aca="false">IF(AND(N51="Paid",L51&lt;&gt;"",E51&lt;&gt;""),L51-E51,"")</f>
        <v/>
      </c>
      <c r="Q51" s="8"/>
    </row>
    <row r="52" customFormat="false" ht="15" hidden="false" customHeight="false" outlineLevel="0" collapsed="false">
      <c r="A52" s="7"/>
      <c r="B52" s="8"/>
      <c r="C52" s="9"/>
      <c r="D52" s="9"/>
      <c r="E52" s="10"/>
      <c r="F52" s="7"/>
      <c r="G52" s="11" t="str">
        <f aca="false">IF(B52="","",IF(F52&lt;&gt;"",F52,IFERROR(INDEX(Settings!$B$5:$B$24,MATCH(D52,Settings!$A$5:$A$24,0)),Settings!$F$5)))</f>
        <v/>
      </c>
      <c r="H52" s="12" t="str">
        <f aca="false">IF(OR(B52="",E52=""),"",E52+G52)</f>
        <v/>
      </c>
      <c r="I52" s="13"/>
      <c r="J52" s="10"/>
      <c r="K52" s="13"/>
      <c r="L52" s="10"/>
      <c r="M52" s="14" t="str">
        <f aca="false">IF(B52="","",N(I52)-N(K52))</f>
        <v/>
      </c>
      <c r="N52" s="15" t="str">
        <f aca="true">IF(B52="","",IF(N(I52)=0,"Enter amount",IF(N(K52)&gt;=I52,"Paid",IF(H52="","Enter date",IF(TODAY()&gt;H52,"Overdue",IF(H52-TODAY()&lt;=Settings!$F$6,"Due Soon",IF(N(K52)&gt;0,"Partially Paid","Not Yet Due")))))))</f>
        <v/>
      </c>
      <c r="O52" s="16" t="str">
        <f aca="true">IF(OR(B52="",H52="",N52="Paid"),"",H52-TODAY())</f>
        <v/>
      </c>
      <c r="P52" s="17" t="str">
        <f aca="false">IF(AND(N52="Paid",L52&lt;&gt;"",E52&lt;&gt;""),L52-E52,"")</f>
        <v/>
      </c>
      <c r="Q52" s="8"/>
    </row>
    <row r="53" customFormat="false" ht="15" hidden="false" customHeight="false" outlineLevel="0" collapsed="false">
      <c r="A53" s="7"/>
      <c r="B53" s="8"/>
      <c r="C53" s="9"/>
      <c r="D53" s="9"/>
      <c r="E53" s="10"/>
      <c r="F53" s="7"/>
      <c r="G53" s="11" t="str">
        <f aca="false">IF(B53="","",IF(F53&lt;&gt;"",F53,IFERROR(INDEX(Settings!$B$5:$B$24,MATCH(D53,Settings!$A$5:$A$24,0)),Settings!$F$5)))</f>
        <v/>
      </c>
      <c r="H53" s="12" t="str">
        <f aca="false">IF(OR(B53="",E53=""),"",E53+G53)</f>
        <v/>
      </c>
      <c r="I53" s="13"/>
      <c r="J53" s="10"/>
      <c r="K53" s="13"/>
      <c r="L53" s="10"/>
      <c r="M53" s="14" t="str">
        <f aca="false">IF(B53="","",N(I53)-N(K53))</f>
        <v/>
      </c>
      <c r="N53" s="15" t="str">
        <f aca="true">IF(B53="","",IF(N(I53)=0,"Enter amount",IF(N(K53)&gt;=I53,"Paid",IF(H53="","Enter date",IF(TODAY()&gt;H53,"Overdue",IF(H53-TODAY()&lt;=Settings!$F$6,"Due Soon",IF(N(K53)&gt;0,"Partially Paid","Not Yet Due")))))))</f>
        <v/>
      </c>
      <c r="O53" s="16" t="str">
        <f aca="true">IF(OR(B53="",H53="",N53="Paid"),"",H53-TODAY())</f>
        <v/>
      </c>
      <c r="P53" s="17" t="str">
        <f aca="false">IF(AND(N53="Paid",L53&lt;&gt;"",E53&lt;&gt;""),L53-E53,"")</f>
        <v/>
      </c>
      <c r="Q53" s="8"/>
    </row>
    <row r="54" customFormat="false" ht="15" hidden="false" customHeight="false" outlineLevel="0" collapsed="false">
      <c r="A54" s="7"/>
      <c r="B54" s="8"/>
      <c r="C54" s="9"/>
      <c r="D54" s="9"/>
      <c r="E54" s="10"/>
      <c r="F54" s="7"/>
      <c r="G54" s="11" t="str">
        <f aca="false">IF(B54="","",IF(F54&lt;&gt;"",F54,IFERROR(INDEX(Settings!$B$5:$B$24,MATCH(D54,Settings!$A$5:$A$24,0)),Settings!$F$5)))</f>
        <v/>
      </c>
      <c r="H54" s="12" t="str">
        <f aca="false">IF(OR(B54="",E54=""),"",E54+G54)</f>
        <v/>
      </c>
      <c r="I54" s="13"/>
      <c r="J54" s="10"/>
      <c r="K54" s="13"/>
      <c r="L54" s="10"/>
      <c r="M54" s="14" t="str">
        <f aca="false">IF(B54="","",N(I54)-N(K54))</f>
        <v/>
      </c>
      <c r="N54" s="15" t="str">
        <f aca="true">IF(B54="","",IF(N(I54)=0,"Enter amount",IF(N(K54)&gt;=I54,"Paid",IF(H54="","Enter date",IF(TODAY()&gt;H54,"Overdue",IF(H54-TODAY()&lt;=Settings!$F$6,"Due Soon",IF(N(K54)&gt;0,"Partially Paid","Not Yet Due")))))))</f>
        <v/>
      </c>
      <c r="O54" s="16" t="str">
        <f aca="true">IF(OR(B54="",H54="",N54="Paid"),"",H54-TODAY())</f>
        <v/>
      </c>
      <c r="P54" s="17" t="str">
        <f aca="false">IF(AND(N54="Paid",L54&lt;&gt;"",E54&lt;&gt;""),L54-E54,"")</f>
        <v/>
      </c>
      <c r="Q54" s="8"/>
    </row>
    <row r="55" customFormat="false" ht="15" hidden="false" customHeight="false" outlineLevel="0" collapsed="false">
      <c r="A55" s="7"/>
      <c r="B55" s="8"/>
      <c r="C55" s="9"/>
      <c r="D55" s="9"/>
      <c r="E55" s="10"/>
      <c r="F55" s="7"/>
      <c r="G55" s="11" t="str">
        <f aca="false">IF(B55="","",IF(F55&lt;&gt;"",F55,IFERROR(INDEX(Settings!$B$5:$B$24,MATCH(D55,Settings!$A$5:$A$24,0)),Settings!$F$5)))</f>
        <v/>
      </c>
      <c r="H55" s="12" t="str">
        <f aca="false">IF(OR(B55="",E55=""),"",E55+G55)</f>
        <v/>
      </c>
      <c r="I55" s="13"/>
      <c r="J55" s="10"/>
      <c r="K55" s="13"/>
      <c r="L55" s="10"/>
      <c r="M55" s="14" t="str">
        <f aca="false">IF(B55="","",N(I55)-N(K55))</f>
        <v/>
      </c>
      <c r="N55" s="15" t="str">
        <f aca="true">IF(B55="","",IF(N(I55)=0,"Enter amount",IF(N(K55)&gt;=I55,"Paid",IF(H55="","Enter date",IF(TODAY()&gt;H55,"Overdue",IF(H55-TODAY()&lt;=Settings!$F$6,"Due Soon",IF(N(K55)&gt;0,"Partially Paid","Not Yet Due")))))))</f>
        <v/>
      </c>
      <c r="O55" s="16" t="str">
        <f aca="true">IF(OR(B55="",H55="",N55="Paid"),"",H55-TODAY())</f>
        <v/>
      </c>
      <c r="P55" s="17" t="str">
        <f aca="false">IF(AND(N55="Paid",L55&lt;&gt;"",E55&lt;&gt;""),L55-E55,"")</f>
        <v/>
      </c>
      <c r="Q55" s="8"/>
    </row>
    <row r="56" customFormat="false" ht="15" hidden="false" customHeight="false" outlineLevel="0" collapsed="false">
      <c r="A56" s="7"/>
      <c r="B56" s="8"/>
      <c r="C56" s="9"/>
      <c r="D56" s="9"/>
      <c r="E56" s="10"/>
      <c r="F56" s="7"/>
      <c r="G56" s="11" t="str">
        <f aca="false">IF(B56="","",IF(F56&lt;&gt;"",F56,IFERROR(INDEX(Settings!$B$5:$B$24,MATCH(D56,Settings!$A$5:$A$24,0)),Settings!$F$5)))</f>
        <v/>
      </c>
      <c r="H56" s="12" t="str">
        <f aca="false">IF(OR(B56="",E56=""),"",E56+G56)</f>
        <v/>
      </c>
      <c r="I56" s="13"/>
      <c r="J56" s="10"/>
      <c r="K56" s="13"/>
      <c r="L56" s="10"/>
      <c r="M56" s="14" t="str">
        <f aca="false">IF(B56="","",N(I56)-N(K56))</f>
        <v/>
      </c>
      <c r="N56" s="15" t="str">
        <f aca="true">IF(B56="","",IF(N(I56)=0,"Enter amount",IF(N(K56)&gt;=I56,"Paid",IF(H56="","Enter date",IF(TODAY()&gt;H56,"Overdue",IF(H56-TODAY()&lt;=Settings!$F$6,"Due Soon",IF(N(K56)&gt;0,"Partially Paid","Not Yet Due")))))))</f>
        <v/>
      </c>
      <c r="O56" s="16" t="str">
        <f aca="true">IF(OR(B56="",H56="",N56="Paid"),"",H56-TODAY())</f>
        <v/>
      </c>
      <c r="P56" s="17" t="str">
        <f aca="false">IF(AND(N56="Paid",L56&lt;&gt;"",E56&lt;&gt;""),L56-E56,"")</f>
        <v/>
      </c>
      <c r="Q56" s="8"/>
    </row>
    <row r="57" customFormat="false" ht="15" hidden="false" customHeight="false" outlineLevel="0" collapsed="false">
      <c r="A57" s="7"/>
      <c r="B57" s="8"/>
      <c r="C57" s="9"/>
      <c r="D57" s="9"/>
      <c r="E57" s="10"/>
      <c r="F57" s="7"/>
      <c r="G57" s="11" t="str">
        <f aca="false">IF(B57="","",IF(F57&lt;&gt;"",F57,IFERROR(INDEX(Settings!$B$5:$B$24,MATCH(D57,Settings!$A$5:$A$24,0)),Settings!$F$5)))</f>
        <v/>
      </c>
      <c r="H57" s="12" t="str">
        <f aca="false">IF(OR(B57="",E57=""),"",E57+G57)</f>
        <v/>
      </c>
      <c r="I57" s="13"/>
      <c r="J57" s="10"/>
      <c r="K57" s="13"/>
      <c r="L57" s="10"/>
      <c r="M57" s="14" t="str">
        <f aca="false">IF(B57="","",N(I57)-N(K57))</f>
        <v/>
      </c>
      <c r="N57" s="15" t="str">
        <f aca="true">IF(B57="","",IF(N(I57)=0,"Enter amount",IF(N(K57)&gt;=I57,"Paid",IF(H57="","Enter date",IF(TODAY()&gt;H57,"Overdue",IF(H57-TODAY()&lt;=Settings!$F$6,"Due Soon",IF(N(K57)&gt;0,"Partially Paid","Not Yet Due")))))))</f>
        <v/>
      </c>
      <c r="O57" s="16" t="str">
        <f aca="true">IF(OR(B57="",H57="",N57="Paid"),"",H57-TODAY())</f>
        <v/>
      </c>
      <c r="P57" s="17" t="str">
        <f aca="false">IF(AND(N57="Paid",L57&lt;&gt;"",E57&lt;&gt;""),L57-E57,"")</f>
        <v/>
      </c>
      <c r="Q57" s="8"/>
    </row>
    <row r="58" customFormat="false" ht="15" hidden="false" customHeight="false" outlineLevel="0" collapsed="false">
      <c r="A58" s="7"/>
      <c r="B58" s="8"/>
      <c r="C58" s="9"/>
      <c r="D58" s="9"/>
      <c r="E58" s="10"/>
      <c r="F58" s="7"/>
      <c r="G58" s="11" t="str">
        <f aca="false">IF(B58="","",IF(F58&lt;&gt;"",F58,IFERROR(INDEX(Settings!$B$5:$B$24,MATCH(D58,Settings!$A$5:$A$24,0)),Settings!$F$5)))</f>
        <v/>
      </c>
      <c r="H58" s="12" t="str">
        <f aca="false">IF(OR(B58="",E58=""),"",E58+G58)</f>
        <v/>
      </c>
      <c r="I58" s="13"/>
      <c r="J58" s="10"/>
      <c r="K58" s="13"/>
      <c r="L58" s="10"/>
      <c r="M58" s="14" t="str">
        <f aca="false">IF(B58="","",N(I58)-N(K58))</f>
        <v/>
      </c>
      <c r="N58" s="15" t="str">
        <f aca="true">IF(B58="","",IF(N(I58)=0,"Enter amount",IF(N(K58)&gt;=I58,"Paid",IF(H58="","Enter date",IF(TODAY()&gt;H58,"Overdue",IF(H58-TODAY()&lt;=Settings!$F$6,"Due Soon",IF(N(K58)&gt;0,"Partially Paid","Not Yet Due")))))))</f>
        <v/>
      </c>
      <c r="O58" s="16" t="str">
        <f aca="true">IF(OR(B58="",H58="",N58="Paid"),"",H58-TODAY())</f>
        <v/>
      </c>
      <c r="P58" s="17" t="str">
        <f aca="false">IF(AND(N58="Paid",L58&lt;&gt;"",E58&lt;&gt;""),L58-E58,"")</f>
        <v/>
      </c>
      <c r="Q58" s="8"/>
    </row>
    <row r="59" customFormat="false" ht="15" hidden="false" customHeight="false" outlineLevel="0" collapsed="false">
      <c r="A59" s="7"/>
      <c r="B59" s="8"/>
      <c r="C59" s="9"/>
      <c r="D59" s="9"/>
      <c r="E59" s="10"/>
      <c r="F59" s="7"/>
      <c r="G59" s="11" t="str">
        <f aca="false">IF(B59="","",IF(F59&lt;&gt;"",F59,IFERROR(INDEX(Settings!$B$5:$B$24,MATCH(D59,Settings!$A$5:$A$24,0)),Settings!$F$5)))</f>
        <v/>
      </c>
      <c r="H59" s="12" t="str">
        <f aca="false">IF(OR(B59="",E59=""),"",E59+G59)</f>
        <v/>
      </c>
      <c r="I59" s="13"/>
      <c r="J59" s="10"/>
      <c r="K59" s="13"/>
      <c r="L59" s="10"/>
      <c r="M59" s="14" t="str">
        <f aca="false">IF(B59="","",N(I59)-N(K59))</f>
        <v/>
      </c>
      <c r="N59" s="15" t="str">
        <f aca="true">IF(B59="","",IF(N(I59)=0,"Enter amount",IF(N(K59)&gt;=I59,"Paid",IF(H59="","Enter date",IF(TODAY()&gt;H59,"Overdue",IF(H59-TODAY()&lt;=Settings!$F$6,"Due Soon",IF(N(K59)&gt;0,"Partially Paid","Not Yet Due")))))))</f>
        <v/>
      </c>
      <c r="O59" s="16" t="str">
        <f aca="true">IF(OR(B59="",H59="",N59="Paid"),"",H59-TODAY())</f>
        <v/>
      </c>
      <c r="P59" s="17" t="str">
        <f aca="false">IF(AND(N59="Paid",L59&lt;&gt;"",E59&lt;&gt;""),L59-E59,"")</f>
        <v/>
      </c>
      <c r="Q59" s="8"/>
    </row>
    <row r="60" customFormat="false" ht="15" hidden="false" customHeight="false" outlineLevel="0" collapsed="false">
      <c r="A60" s="7"/>
      <c r="B60" s="8"/>
      <c r="C60" s="9"/>
      <c r="D60" s="9"/>
      <c r="E60" s="10"/>
      <c r="F60" s="7"/>
      <c r="G60" s="11" t="str">
        <f aca="false">IF(B60="","",IF(F60&lt;&gt;"",F60,IFERROR(INDEX(Settings!$B$5:$B$24,MATCH(D60,Settings!$A$5:$A$24,0)),Settings!$F$5)))</f>
        <v/>
      </c>
      <c r="H60" s="12" t="str">
        <f aca="false">IF(OR(B60="",E60=""),"",E60+G60)</f>
        <v/>
      </c>
      <c r="I60" s="13"/>
      <c r="J60" s="10"/>
      <c r="K60" s="13"/>
      <c r="L60" s="10"/>
      <c r="M60" s="14" t="str">
        <f aca="false">IF(B60="","",N(I60)-N(K60))</f>
        <v/>
      </c>
      <c r="N60" s="15" t="str">
        <f aca="true">IF(B60="","",IF(N(I60)=0,"Enter amount",IF(N(K60)&gt;=I60,"Paid",IF(H60="","Enter date",IF(TODAY()&gt;H60,"Overdue",IF(H60-TODAY()&lt;=Settings!$F$6,"Due Soon",IF(N(K60)&gt;0,"Partially Paid","Not Yet Due")))))))</f>
        <v/>
      </c>
      <c r="O60" s="16" t="str">
        <f aca="true">IF(OR(B60="",H60="",N60="Paid"),"",H60-TODAY())</f>
        <v/>
      </c>
      <c r="P60" s="17" t="str">
        <f aca="false">IF(AND(N60="Paid",L60&lt;&gt;"",E60&lt;&gt;""),L60-E60,"")</f>
        <v/>
      </c>
      <c r="Q60" s="8"/>
    </row>
    <row r="61" customFormat="false" ht="15" hidden="false" customHeight="false" outlineLevel="0" collapsed="false">
      <c r="A61" s="7"/>
      <c r="B61" s="8"/>
      <c r="C61" s="9"/>
      <c r="D61" s="9"/>
      <c r="E61" s="10"/>
      <c r="F61" s="7"/>
      <c r="G61" s="11" t="str">
        <f aca="false">IF(B61="","",IF(F61&lt;&gt;"",F61,IFERROR(INDEX(Settings!$B$5:$B$24,MATCH(D61,Settings!$A$5:$A$24,0)),Settings!$F$5)))</f>
        <v/>
      </c>
      <c r="H61" s="12" t="str">
        <f aca="false">IF(OR(B61="",E61=""),"",E61+G61)</f>
        <v/>
      </c>
      <c r="I61" s="13"/>
      <c r="J61" s="10"/>
      <c r="K61" s="13"/>
      <c r="L61" s="10"/>
      <c r="M61" s="14" t="str">
        <f aca="false">IF(B61="","",N(I61)-N(K61))</f>
        <v/>
      </c>
      <c r="N61" s="15" t="str">
        <f aca="true">IF(B61="","",IF(N(I61)=0,"Enter amount",IF(N(K61)&gt;=I61,"Paid",IF(H61="","Enter date",IF(TODAY()&gt;H61,"Overdue",IF(H61-TODAY()&lt;=Settings!$F$6,"Due Soon",IF(N(K61)&gt;0,"Partially Paid","Not Yet Due")))))))</f>
        <v/>
      </c>
      <c r="O61" s="16" t="str">
        <f aca="true">IF(OR(B61="",H61="",N61="Paid"),"",H61-TODAY())</f>
        <v/>
      </c>
      <c r="P61" s="17" t="str">
        <f aca="false">IF(AND(N61="Paid",L61&lt;&gt;"",E61&lt;&gt;""),L61-E61,"")</f>
        <v/>
      </c>
      <c r="Q61" s="8"/>
    </row>
    <row r="62" customFormat="false" ht="15" hidden="false" customHeight="false" outlineLevel="0" collapsed="false">
      <c r="A62" s="7"/>
      <c r="B62" s="8"/>
      <c r="C62" s="9"/>
      <c r="D62" s="9"/>
      <c r="E62" s="10"/>
      <c r="F62" s="7"/>
      <c r="G62" s="11" t="str">
        <f aca="false">IF(B62="","",IF(F62&lt;&gt;"",F62,IFERROR(INDEX(Settings!$B$5:$B$24,MATCH(D62,Settings!$A$5:$A$24,0)),Settings!$F$5)))</f>
        <v/>
      </c>
      <c r="H62" s="12" t="str">
        <f aca="false">IF(OR(B62="",E62=""),"",E62+G62)</f>
        <v/>
      </c>
      <c r="I62" s="13"/>
      <c r="J62" s="10"/>
      <c r="K62" s="13"/>
      <c r="L62" s="10"/>
      <c r="M62" s="14" t="str">
        <f aca="false">IF(B62="","",N(I62)-N(K62))</f>
        <v/>
      </c>
      <c r="N62" s="15" t="str">
        <f aca="true">IF(B62="","",IF(N(I62)=0,"Enter amount",IF(N(K62)&gt;=I62,"Paid",IF(H62="","Enter date",IF(TODAY()&gt;H62,"Overdue",IF(H62-TODAY()&lt;=Settings!$F$6,"Due Soon",IF(N(K62)&gt;0,"Partially Paid","Not Yet Due")))))))</f>
        <v/>
      </c>
      <c r="O62" s="16" t="str">
        <f aca="true">IF(OR(B62="",H62="",N62="Paid"),"",H62-TODAY())</f>
        <v/>
      </c>
      <c r="P62" s="17" t="str">
        <f aca="false">IF(AND(N62="Paid",L62&lt;&gt;"",E62&lt;&gt;""),L62-E62,"")</f>
        <v/>
      </c>
      <c r="Q62" s="8"/>
    </row>
    <row r="63" customFormat="false" ht="15" hidden="false" customHeight="false" outlineLevel="0" collapsed="false">
      <c r="A63" s="7"/>
      <c r="B63" s="8"/>
      <c r="C63" s="9"/>
      <c r="D63" s="9"/>
      <c r="E63" s="10"/>
      <c r="F63" s="7"/>
      <c r="G63" s="11" t="str">
        <f aca="false">IF(B63="","",IF(F63&lt;&gt;"",F63,IFERROR(INDEX(Settings!$B$5:$B$24,MATCH(D63,Settings!$A$5:$A$24,0)),Settings!$F$5)))</f>
        <v/>
      </c>
      <c r="H63" s="12" t="str">
        <f aca="false">IF(OR(B63="",E63=""),"",E63+G63)</f>
        <v/>
      </c>
      <c r="I63" s="13"/>
      <c r="J63" s="10"/>
      <c r="K63" s="13"/>
      <c r="L63" s="10"/>
      <c r="M63" s="14" t="str">
        <f aca="false">IF(B63="","",N(I63)-N(K63))</f>
        <v/>
      </c>
      <c r="N63" s="15" t="str">
        <f aca="true">IF(B63="","",IF(N(I63)=0,"Enter amount",IF(N(K63)&gt;=I63,"Paid",IF(H63="","Enter date",IF(TODAY()&gt;H63,"Overdue",IF(H63-TODAY()&lt;=Settings!$F$6,"Due Soon",IF(N(K63)&gt;0,"Partially Paid","Not Yet Due")))))))</f>
        <v/>
      </c>
      <c r="O63" s="16" t="str">
        <f aca="true">IF(OR(B63="",H63="",N63="Paid"),"",H63-TODAY())</f>
        <v/>
      </c>
      <c r="P63" s="17" t="str">
        <f aca="false">IF(AND(N63="Paid",L63&lt;&gt;"",E63&lt;&gt;""),L63-E63,"")</f>
        <v/>
      </c>
      <c r="Q63" s="8"/>
    </row>
    <row r="64" customFormat="false" ht="15" hidden="false" customHeight="false" outlineLevel="0" collapsed="false">
      <c r="A64" s="7"/>
      <c r="B64" s="8"/>
      <c r="C64" s="9"/>
      <c r="D64" s="9"/>
      <c r="E64" s="10"/>
      <c r="F64" s="7"/>
      <c r="G64" s="11" t="str">
        <f aca="false">IF(B64="","",IF(F64&lt;&gt;"",F64,IFERROR(INDEX(Settings!$B$5:$B$24,MATCH(D64,Settings!$A$5:$A$24,0)),Settings!$F$5)))</f>
        <v/>
      </c>
      <c r="H64" s="12" t="str">
        <f aca="false">IF(OR(B64="",E64=""),"",E64+G64)</f>
        <v/>
      </c>
      <c r="I64" s="13"/>
      <c r="J64" s="10"/>
      <c r="K64" s="13"/>
      <c r="L64" s="10"/>
      <c r="M64" s="14" t="str">
        <f aca="false">IF(B64="","",N(I64)-N(K64))</f>
        <v/>
      </c>
      <c r="N64" s="15" t="str">
        <f aca="true">IF(B64="","",IF(N(I64)=0,"Enter amount",IF(N(K64)&gt;=I64,"Paid",IF(H64="","Enter date",IF(TODAY()&gt;H64,"Overdue",IF(H64-TODAY()&lt;=Settings!$F$6,"Due Soon",IF(N(K64)&gt;0,"Partially Paid","Not Yet Due")))))))</f>
        <v/>
      </c>
      <c r="O64" s="16" t="str">
        <f aca="true">IF(OR(B64="",H64="",N64="Paid"),"",H64-TODAY())</f>
        <v/>
      </c>
      <c r="P64" s="17" t="str">
        <f aca="false">IF(AND(N64="Paid",L64&lt;&gt;"",E64&lt;&gt;""),L64-E64,"")</f>
        <v/>
      </c>
      <c r="Q64" s="8"/>
    </row>
    <row r="65" customFormat="false" ht="15" hidden="false" customHeight="false" outlineLevel="0" collapsed="false">
      <c r="A65" s="7"/>
      <c r="B65" s="8"/>
      <c r="C65" s="9"/>
      <c r="D65" s="9"/>
      <c r="E65" s="10"/>
      <c r="F65" s="7"/>
      <c r="G65" s="11" t="str">
        <f aca="false">IF(B65="","",IF(F65&lt;&gt;"",F65,IFERROR(INDEX(Settings!$B$5:$B$24,MATCH(D65,Settings!$A$5:$A$24,0)),Settings!$F$5)))</f>
        <v/>
      </c>
      <c r="H65" s="12" t="str">
        <f aca="false">IF(OR(B65="",E65=""),"",E65+G65)</f>
        <v/>
      </c>
      <c r="I65" s="13"/>
      <c r="J65" s="10"/>
      <c r="K65" s="13"/>
      <c r="L65" s="10"/>
      <c r="M65" s="14" t="str">
        <f aca="false">IF(B65="","",N(I65)-N(K65))</f>
        <v/>
      </c>
      <c r="N65" s="15" t="str">
        <f aca="true">IF(B65="","",IF(N(I65)=0,"Enter amount",IF(N(K65)&gt;=I65,"Paid",IF(H65="","Enter date",IF(TODAY()&gt;H65,"Overdue",IF(H65-TODAY()&lt;=Settings!$F$6,"Due Soon",IF(N(K65)&gt;0,"Partially Paid","Not Yet Due")))))))</f>
        <v/>
      </c>
      <c r="O65" s="16" t="str">
        <f aca="true">IF(OR(B65="",H65="",N65="Paid"),"",H65-TODAY())</f>
        <v/>
      </c>
      <c r="P65" s="17" t="str">
        <f aca="false">IF(AND(N65="Paid",L65&lt;&gt;"",E65&lt;&gt;""),L65-E65,"")</f>
        <v/>
      </c>
      <c r="Q65" s="8"/>
    </row>
    <row r="66" customFormat="false" ht="15" hidden="false" customHeight="false" outlineLevel="0" collapsed="false">
      <c r="A66" s="7"/>
      <c r="B66" s="8"/>
      <c r="C66" s="9"/>
      <c r="D66" s="9"/>
      <c r="E66" s="10"/>
      <c r="F66" s="7"/>
      <c r="G66" s="11" t="str">
        <f aca="false">IF(B66="","",IF(F66&lt;&gt;"",F66,IFERROR(INDEX(Settings!$B$5:$B$24,MATCH(D66,Settings!$A$5:$A$24,0)),Settings!$F$5)))</f>
        <v/>
      </c>
      <c r="H66" s="12" t="str">
        <f aca="false">IF(OR(B66="",E66=""),"",E66+G66)</f>
        <v/>
      </c>
      <c r="I66" s="13"/>
      <c r="J66" s="10"/>
      <c r="K66" s="13"/>
      <c r="L66" s="10"/>
      <c r="M66" s="14" t="str">
        <f aca="false">IF(B66="","",N(I66)-N(K66))</f>
        <v/>
      </c>
      <c r="N66" s="15" t="str">
        <f aca="true">IF(B66="","",IF(N(I66)=0,"Enter amount",IF(N(K66)&gt;=I66,"Paid",IF(H66="","Enter date",IF(TODAY()&gt;H66,"Overdue",IF(H66-TODAY()&lt;=Settings!$F$6,"Due Soon",IF(N(K66)&gt;0,"Partially Paid","Not Yet Due")))))))</f>
        <v/>
      </c>
      <c r="O66" s="16" t="str">
        <f aca="true">IF(OR(B66="",H66="",N66="Paid"),"",H66-TODAY())</f>
        <v/>
      </c>
      <c r="P66" s="17" t="str">
        <f aca="false">IF(AND(N66="Paid",L66&lt;&gt;"",E66&lt;&gt;""),L66-E66,"")</f>
        <v/>
      </c>
      <c r="Q66" s="8"/>
    </row>
    <row r="67" customFormat="false" ht="15" hidden="false" customHeight="false" outlineLevel="0" collapsed="false">
      <c r="A67" s="7"/>
      <c r="B67" s="8"/>
      <c r="C67" s="9"/>
      <c r="D67" s="9"/>
      <c r="E67" s="10"/>
      <c r="F67" s="7"/>
      <c r="G67" s="11" t="str">
        <f aca="false">IF(B67="","",IF(F67&lt;&gt;"",F67,IFERROR(INDEX(Settings!$B$5:$B$24,MATCH(D67,Settings!$A$5:$A$24,0)),Settings!$F$5)))</f>
        <v/>
      </c>
      <c r="H67" s="12" t="str">
        <f aca="false">IF(OR(B67="",E67=""),"",E67+G67)</f>
        <v/>
      </c>
      <c r="I67" s="13"/>
      <c r="J67" s="10"/>
      <c r="K67" s="13"/>
      <c r="L67" s="10"/>
      <c r="M67" s="14" t="str">
        <f aca="false">IF(B67="","",N(I67)-N(K67))</f>
        <v/>
      </c>
      <c r="N67" s="15" t="str">
        <f aca="true">IF(B67="","",IF(N(I67)=0,"Enter amount",IF(N(K67)&gt;=I67,"Paid",IF(H67="","Enter date",IF(TODAY()&gt;H67,"Overdue",IF(H67-TODAY()&lt;=Settings!$F$6,"Due Soon",IF(N(K67)&gt;0,"Partially Paid","Not Yet Due")))))))</f>
        <v/>
      </c>
      <c r="O67" s="16" t="str">
        <f aca="true">IF(OR(B67="",H67="",N67="Paid"),"",H67-TODAY())</f>
        <v/>
      </c>
      <c r="P67" s="17" t="str">
        <f aca="false">IF(AND(N67="Paid",L67&lt;&gt;"",E67&lt;&gt;""),L67-E67,"")</f>
        <v/>
      </c>
      <c r="Q67" s="8"/>
    </row>
    <row r="68" customFormat="false" ht="15" hidden="false" customHeight="false" outlineLevel="0" collapsed="false">
      <c r="A68" s="7"/>
      <c r="B68" s="8"/>
      <c r="C68" s="9"/>
      <c r="D68" s="9"/>
      <c r="E68" s="10"/>
      <c r="F68" s="7"/>
      <c r="G68" s="11" t="str">
        <f aca="false">IF(B68="","",IF(F68&lt;&gt;"",F68,IFERROR(INDEX(Settings!$B$5:$B$24,MATCH(D68,Settings!$A$5:$A$24,0)),Settings!$F$5)))</f>
        <v/>
      </c>
      <c r="H68" s="12" t="str">
        <f aca="false">IF(OR(B68="",E68=""),"",E68+G68)</f>
        <v/>
      </c>
      <c r="I68" s="13"/>
      <c r="J68" s="10"/>
      <c r="K68" s="13"/>
      <c r="L68" s="10"/>
      <c r="M68" s="14" t="str">
        <f aca="false">IF(B68="","",N(I68)-N(K68))</f>
        <v/>
      </c>
      <c r="N68" s="15" t="str">
        <f aca="true">IF(B68="","",IF(N(I68)=0,"Enter amount",IF(N(K68)&gt;=I68,"Paid",IF(H68="","Enter date",IF(TODAY()&gt;H68,"Overdue",IF(H68-TODAY()&lt;=Settings!$F$6,"Due Soon",IF(N(K68)&gt;0,"Partially Paid","Not Yet Due")))))))</f>
        <v/>
      </c>
      <c r="O68" s="16" t="str">
        <f aca="true">IF(OR(B68="",H68="",N68="Paid"),"",H68-TODAY())</f>
        <v/>
      </c>
      <c r="P68" s="17" t="str">
        <f aca="false">IF(AND(N68="Paid",L68&lt;&gt;"",E68&lt;&gt;""),L68-E68,"")</f>
        <v/>
      </c>
      <c r="Q68" s="8"/>
    </row>
    <row r="69" customFormat="false" ht="15" hidden="false" customHeight="false" outlineLevel="0" collapsed="false">
      <c r="A69" s="7"/>
      <c r="B69" s="8"/>
      <c r="C69" s="9"/>
      <c r="D69" s="9"/>
      <c r="E69" s="10"/>
      <c r="F69" s="7"/>
      <c r="G69" s="11" t="str">
        <f aca="false">IF(B69="","",IF(F69&lt;&gt;"",F69,IFERROR(INDEX(Settings!$B$5:$B$24,MATCH(D69,Settings!$A$5:$A$24,0)),Settings!$F$5)))</f>
        <v/>
      </c>
      <c r="H69" s="12" t="str">
        <f aca="false">IF(OR(B69="",E69=""),"",E69+G69)</f>
        <v/>
      </c>
      <c r="I69" s="13"/>
      <c r="J69" s="10"/>
      <c r="K69" s="13"/>
      <c r="L69" s="10"/>
      <c r="M69" s="14" t="str">
        <f aca="false">IF(B69="","",N(I69)-N(K69))</f>
        <v/>
      </c>
      <c r="N69" s="15" t="str">
        <f aca="true">IF(B69="","",IF(N(I69)=0,"Enter amount",IF(N(K69)&gt;=I69,"Paid",IF(H69="","Enter date",IF(TODAY()&gt;H69,"Overdue",IF(H69-TODAY()&lt;=Settings!$F$6,"Due Soon",IF(N(K69)&gt;0,"Partially Paid","Not Yet Due")))))))</f>
        <v/>
      </c>
      <c r="O69" s="16" t="str">
        <f aca="true">IF(OR(B69="",H69="",N69="Paid"),"",H69-TODAY())</f>
        <v/>
      </c>
      <c r="P69" s="17" t="str">
        <f aca="false">IF(AND(N69="Paid",L69&lt;&gt;"",E69&lt;&gt;""),L69-E69,"")</f>
        <v/>
      </c>
      <c r="Q69" s="8"/>
    </row>
    <row r="70" customFormat="false" ht="15" hidden="false" customHeight="false" outlineLevel="0" collapsed="false">
      <c r="A70" s="7"/>
      <c r="B70" s="8"/>
      <c r="C70" s="9"/>
      <c r="D70" s="9"/>
      <c r="E70" s="10"/>
      <c r="F70" s="7"/>
      <c r="G70" s="11" t="str">
        <f aca="false">IF(B70="","",IF(F70&lt;&gt;"",F70,IFERROR(INDEX(Settings!$B$5:$B$24,MATCH(D70,Settings!$A$5:$A$24,0)),Settings!$F$5)))</f>
        <v/>
      </c>
      <c r="H70" s="12" t="str">
        <f aca="false">IF(OR(B70="",E70=""),"",E70+G70)</f>
        <v/>
      </c>
      <c r="I70" s="13"/>
      <c r="J70" s="10"/>
      <c r="K70" s="13"/>
      <c r="L70" s="10"/>
      <c r="M70" s="14" t="str">
        <f aca="false">IF(B70="","",N(I70)-N(K70))</f>
        <v/>
      </c>
      <c r="N70" s="15" t="str">
        <f aca="true">IF(B70="","",IF(N(I70)=0,"Enter amount",IF(N(K70)&gt;=I70,"Paid",IF(H70="","Enter date",IF(TODAY()&gt;H70,"Overdue",IF(H70-TODAY()&lt;=Settings!$F$6,"Due Soon",IF(N(K70)&gt;0,"Partially Paid","Not Yet Due")))))))</f>
        <v/>
      </c>
      <c r="O70" s="16" t="str">
        <f aca="true">IF(OR(B70="",H70="",N70="Paid"),"",H70-TODAY())</f>
        <v/>
      </c>
      <c r="P70" s="17" t="str">
        <f aca="false">IF(AND(N70="Paid",L70&lt;&gt;"",E70&lt;&gt;""),L70-E70,"")</f>
        <v/>
      </c>
      <c r="Q70" s="8"/>
    </row>
    <row r="71" customFormat="false" ht="15" hidden="false" customHeight="false" outlineLevel="0" collapsed="false">
      <c r="A71" s="7"/>
      <c r="B71" s="8"/>
      <c r="C71" s="9"/>
      <c r="D71" s="9"/>
      <c r="E71" s="10"/>
      <c r="F71" s="7"/>
      <c r="G71" s="11" t="str">
        <f aca="false">IF(B71="","",IF(F71&lt;&gt;"",F71,IFERROR(INDEX(Settings!$B$5:$B$24,MATCH(D71,Settings!$A$5:$A$24,0)),Settings!$F$5)))</f>
        <v/>
      </c>
      <c r="H71" s="12" t="str">
        <f aca="false">IF(OR(B71="",E71=""),"",E71+G71)</f>
        <v/>
      </c>
      <c r="I71" s="13"/>
      <c r="J71" s="10"/>
      <c r="K71" s="13"/>
      <c r="L71" s="10"/>
      <c r="M71" s="14" t="str">
        <f aca="false">IF(B71="","",N(I71)-N(K71))</f>
        <v/>
      </c>
      <c r="N71" s="15" t="str">
        <f aca="true">IF(B71="","",IF(N(I71)=0,"Enter amount",IF(N(K71)&gt;=I71,"Paid",IF(H71="","Enter date",IF(TODAY()&gt;H71,"Overdue",IF(H71-TODAY()&lt;=Settings!$F$6,"Due Soon",IF(N(K71)&gt;0,"Partially Paid","Not Yet Due")))))))</f>
        <v/>
      </c>
      <c r="O71" s="16" t="str">
        <f aca="true">IF(OR(B71="",H71="",N71="Paid"),"",H71-TODAY())</f>
        <v/>
      </c>
      <c r="P71" s="17" t="str">
        <f aca="false">IF(AND(N71="Paid",L71&lt;&gt;"",E71&lt;&gt;""),L71-E71,"")</f>
        <v/>
      </c>
      <c r="Q71" s="8"/>
    </row>
    <row r="72" customFormat="false" ht="15" hidden="false" customHeight="false" outlineLevel="0" collapsed="false">
      <c r="A72" s="7"/>
      <c r="B72" s="8"/>
      <c r="C72" s="9"/>
      <c r="D72" s="9"/>
      <c r="E72" s="10"/>
      <c r="F72" s="7"/>
      <c r="G72" s="11" t="str">
        <f aca="false">IF(B72="","",IF(F72&lt;&gt;"",F72,IFERROR(INDEX(Settings!$B$5:$B$24,MATCH(D72,Settings!$A$5:$A$24,0)),Settings!$F$5)))</f>
        <v/>
      </c>
      <c r="H72" s="12" t="str">
        <f aca="false">IF(OR(B72="",E72=""),"",E72+G72)</f>
        <v/>
      </c>
      <c r="I72" s="13"/>
      <c r="J72" s="10"/>
      <c r="K72" s="13"/>
      <c r="L72" s="10"/>
      <c r="M72" s="14" t="str">
        <f aca="false">IF(B72="","",N(I72)-N(K72))</f>
        <v/>
      </c>
      <c r="N72" s="15" t="str">
        <f aca="true">IF(B72="","",IF(N(I72)=0,"Enter amount",IF(N(K72)&gt;=I72,"Paid",IF(H72="","Enter date",IF(TODAY()&gt;H72,"Overdue",IF(H72-TODAY()&lt;=Settings!$F$6,"Due Soon",IF(N(K72)&gt;0,"Partially Paid","Not Yet Due")))))))</f>
        <v/>
      </c>
      <c r="O72" s="16" t="str">
        <f aca="true">IF(OR(B72="",H72="",N72="Paid"),"",H72-TODAY())</f>
        <v/>
      </c>
      <c r="P72" s="17" t="str">
        <f aca="false">IF(AND(N72="Paid",L72&lt;&gt;"",E72&lt;&gt;""),L72-E72,"")</f>
        <v/>
      </c>
      <c r="Q72" s="8"/>
    </row>
    <row r="73" customFormat="false" ht="15" hidden="false" customHeight="false" outlineLevel="0" collapsed="false">
      <c r="A73" s="7"/>
      <c r="B73" s="8"/>
      <c r="C73" s="9"/>
      <c r="D73" s="9"/>
      <c r="E73" s="10"/>
      <c r="F73" s="7"/>
      <c r="G73" s="11" t="str">
        <f aca="false">IF(B73="","",IF(F73&lt;&gt;"",F73,IFERROR(INDEX(Settings!$B$5:$B$24,MATCH(D73,Settings!$A$5:$A$24,0)),Settings!$F$5)))</f>
        <v/>
      </c>
      <c r="H73" s="12" t="str">
        <f aca="false">IF(OR(B73="",E73=""),"",E73+G73)</f>
        <v/>
      </c>
      <c r="I73" s="13"/>
      <c r="J73" s="10"/>
      <c r="K73" s="13"/>
      <c r="L73" s="10"/>
      <c r="M73" s="14" t="str">
        <f aca="false">IF(B73="","",N(I73)-N(K73))</f>
        <v/>
      </c>
      <c r="N73" s="15" t="str">
        <f aca="true">IF(B73="","",IF(N(I73)=0,"Enter amount",IF(N(K73)&gt;=I73,"Paid",IF(H73="","Enter date",IF(TODAY()&gt;H73,"Overdue",IF(H73-TODAY()&lt;=Settings!$F$6,"Due Soon",IF(N(K73)&gt;0,"Partially Paid","Not Yet Due")))))))</f>
        <v/>
      </c>
      <c r="O73" s="16" t="str">
        <f aca="true">IF(OR(B73="",H73="",N73="Paid"),"",H73-TODAY())</f>
        <v/>
      </c>
      <c r="P73" s="17" t="str">
        <f aca="false">IF(AND(N73="Paid",L73&lt;&gt;"",E73&lt;&gt;""),L73-E73,"")</f>
        <v/>
      </c>
      <c r="Q73" s="8"/>
    </row>
    <row r="74" customFormat="false" ht="15" hidden="false" customHeight="false" outlineLevel="0" collapsed="false">
      <c r="A74" s="7"/>
      <c r="B74" s="8"/>
      <c r="C74" s="9"/>
      <c r="D74" s="9"/>
      <c r="E74" s="10"/>
      <c r="F74" s="7"/>
      <c r="G74" s="11" t="str">
        <f aca="false">IF(B74="","",IF(F74&lt;&gt;"",F74,IFERROR(INDEX(Settings!$B$5:$B$24,MATCH(D74,Settings!$A$5:$A$24,0)),Settings!$F$5)))</f>
        <v/>
      </c>
      <c r="H74" s="12" t="str">
        <f aca="false">IF(OR(B74="",E74=""),"",E74+G74)</f>
        <v/>
      </c>
      <c r="I74" s="13"/>
      <c r="J74" s="10"/>
      <c r="K74" s="13"/>
      <c r="L74" s="10"/>
      <c r="M74" s="14" t="str">
        <f aca="false">IF(B74="","",N(I74)-N(K74))</f>
        <v/>
      </c>
      <c r="N74" s="15" t="str">
        <f aca="true">IF(B74="","",IF(N(I74)=0,"Enter amount",IF(N(K74)&gt;=I74,"Paid",IF(H74="","Enter date",IF(TODAY()&gt;H74,"Overdue",IF(H74-TODAY()&lt;=Settings!$F$6,"Due Soon",IF(N(K74)&gt;0,"Partially Paid","Not Yet Due")))))))</f>
        <v/>
      </c>
      <c r="O74" s="16" t="str">
        <f aca="true">IF(OR(B74="",H74="",N74="Paid"),"",H74-TODAY())</f>
        <v/>
      </c>
      <c r="P74" s="17" t="str">
        <f aca="false">IF(AND(N74="Paid",L74&lt;&gt;"",E74&lt;&gt;""),L74-E74,"")</f>
        <v/>
      </c>
      <c r="Q74" s="8"/>
    </row>
    <row r="75" customFormat="false" ht="15" hidden="false" customHeight="false" outlineLevel="0" collapsed="false">
      <c r="A75" s="7"/>
      <c r="B75" s="8"/>
      <c r="C75" s="9"/>
      <c r="D75" s="9"/>
      <c r="E75" s="10"/>
      <c r="F75" s="7"/>
      <c r="G75" s="11" t="str">
        <f aca="false">IF(B75="","",IF(F75&lt;&gt;"",F75,IFERROR(INDEX(Settings!$B$5:$B$24,MATCH(D75,Settings!$A$5:$A$24,0)),Settings!$F$5)))</f>
        <v/>
      </c>
      <c r="H75" s="12" t="str">
        <f aca="false">IF(OR(B75="",E75=""),"",E75+G75)</f>
        <v/>
      </c>
      <c r="I75" s="13"/>
      <c r="J75" s="10"/>
      <c r="K75" s="13"/>
      <c r="L75" s="10"/>
      <c r="M75" s="14" t="str">
        <f aca="false">IF(B75="","",N(I75)-N(K75))</f>
        <v/>
      </c>
      <c r="N75" s="15" t="str">
        <f aca="true">IF(B75="","",IF(N(I75)=0,"Enter amount",IF(N(K75)&gt;=I75,"Paid",IF(H75="","Enter date",IF(TODAY()&gt;H75,"Overdue",IF(H75-TODAY()&lt;=Settings!$F$6,"Due Soon",IF(N(K75)&gt;0,"Partially Paid","Not Yet Due")))))))</f>
        <v/>
      </c>
      <c r="O75" s="16" t="str">
        <f aca="true">IF(OR(B75="",H75="",N75="Paid"),"",H75-TODAY())</f>
        <v/>
      </c>
      <c r="P75" s="17" t="str">
        <f aca="false">IF(AND(N75="Paid",L75&lt;&gt;"",E75&lt;&gt;""),L75-E75,"")</f>
        <v/>
      </c>
      <c r="Q75" s="8"/>
    </row>
    <row r="76" customFormat="false" ht="15" hidden="false" customHeight="false" outlineLevel="0" collapsed="false">
      <c r="A76" s="7"/>
      <c r="B76" s="8"/>
      <c r="C76" s="9"/>
      <c r="D76" s="9"/>
      <c r="E76" s="10"/>
      <c r="F76" s="7"/>
      <c r="G76" s="11" t="str">
        <f aca="false">IF(B76="","",IF(F76&lt;&gt;"",F76,IFERROR(INDEX(Settings!$B$5:$B$24,MATCH(D76,Settings!$A$5:$A$24,0)),Settings!$F$5)))</f>
        <v/>
      </c>
      <c r="H76" s="12" t="str">
        <f aca="false">IF(OR(B76="",E76=""),"",E76+G76)</f>
        <v/>
      </c>
      <c r="I76" s="13"/>
      <c r="J76" s="10"/>
      <c r="K76" s="13"/>
      <c r="L76" s="10"/>
      <c r="M76" s="14" t="str">
        <f aca="false">IF(B76="","",N(I76)-N(K76))</f>
        <v/>
      </c>
      <c r="N76" s="15" t="str">
        <f aca="true">IF(B76="","",IF(N(I76)=0,"Enter amount",IF(N(K76)&gt;=I76,"Paid",IF(H76="","Enter date",IF(TODAY()&gt;H76,"Overdue",IF(H76-TODAY()&lt;=Settings!$F$6,"Due Soon",IF(N(K76)&gt;0,"Partially Paid","Not Yet Due")))))))</f>
        <v/>
      </c>
      <c r="O76" s="16" t="str">
        <f aca="true">IF(OR(B76="",H76="",N76="Paid"),"",H76-TODAY())</f>
        <v/>
      </c>
      <c r="P76" s="17" t="str">
        <f aca="false">IF(AND(N76="Paid",L76&lt;&gt;"",E76&lt;&gt;""),L76-E76,"")</f>
        <v/>
      </c>
      <c r="Q76" s="8"/>
    </row>
    <row r="77" customFormat="false" ht="15" hidden="false" customHeight="false" outlineLevel="0" collapsed="false">
      <c r="A77" s="7"/>
      <c r="B77" s="8"/>
      <c r="C77" s="9"/>
      <c r="D77" s="9"/>
      <c r="E77" s="10"/>
      <c r="F77" s="7"/>
      <c r="G77" s="11" t="str">
        <f aca="false">IF(B77="","",IF(F77&lt;&gt;"",F77,IFERROR(INDEX(Settings!$B$5:$B$24,MATCH(D77,Settings!$A$5:$A$24,0)),Settings!$F$5)))</f>
        <v/>
      </c>
      <c r="H77" s="12" t="str">
        <f aca="false">IF(OR(B77="",E77=""),"",E77+G77)</f>
        <v/>
      </c>
      <c r="I77" s="13"/>
      <c r="J77" s="10"/>
      <c r="K77" s="13"/>
      <c r="L77" s="10"/>
      <c r="M77" s="14" t="str">
        <f aca="false">IF(B77="","",N(I77)-N(K77))</f>
        <v/>
      </c>
      <c r="N77" s="15" t="str">
        <f aca="true">IF(B77="","",IF(N(I77)=0,"Enter amount",IF(N(K77)&gt;=I77,"Paid",IF(H77="","Enter date",IF(TODAY()&gt;H77,"Overdue",IF(H77-TODAY()&lt;=Settings!$F$6,"Due Soon",IF(N(K77)&gt;0,"Partially Paid","Not Yet Due")))))))</f>
        <v/>
      </c>
      <c r="O77" s="16" t="str">
        <f aca="true">IF(OR(B77="",H77="",N77="Paid"),"",H77-TODAY())</f>
        <v/>
      </c>
      <c r="P77" s="17" t="str">
        <f aca="false">IF(AND(N77="Paid",L77&lt;&gt;"",E77&lt;&gt;""),L77-E77,"")</f>
        <v/>
      </c>
      <c r="Q77" s="8"/>
    </row>
    <row r="78" customFormat="false" ht="15" hidden="false" customHeight="false" outlineLevel="0" collapsed="false">
      <c r="A78" s="7"/>
      <c r="B78" s="8"/>
      <c r="C78" s="9"/>
      <c r="D78" s="9"/>
      <c r="E78" s="10"/>
      <c r="F78" s="7"/>
      <c r="G78" s="11" t="str">
        <f aca="false">IF(B78="","",IF(F78&lt;&gt;"",F78,IFERROR(INDEX(Settings!$B$5:$B$24,MATCH(D78,Settings!$A$5:$A$24,0)),Settings!$F$5)))</f>
        <v/>
      </c>
      <c r="H78" s="12" t="str">
        <f aca="false">IF(OR(B78="",E78=""),"",E78+G78)</f>
        <v/>
      </c>
      <c r="I78" s="13"/>
      <c r="J78" s="10"/>
      <c r="K78" s="13"/>
      <c r="L78" s="10"/>
      <c r="M78" s="14" t="str">
        <f aca="false">IF(B78="","",N(I78)-N(K78))</f>
        <v/>
      </c>
      <c r="N78" s="15" t="str">
        <f aca="true">IF(B78="","",IF(N(I78)=0,"Enter amount",IF(N(K78)&gt;=I78,"Paid",IF(H78="","Enter date",IF(TODAY()&gt;H78,"Overdue",IF(H78-TODAY()&lt;=Settings!$F$6,"Due Soon",IF(N(K78)&gt;0,"Partially Paid","Not Yet Due")))))))</f>
        <v/>
      </c>
      <c r="O78" s="16" t="str">
        <f aca="true">IF(OR(B78="",H78="",N78="Paid"),"",H78-TODAY())</f>
        <v/>
      </c>
      <c r="P78" s="17" t="str">
        <f aca="false">IF(AND(N78="Paid",L78&lt;&gt;"",E78&lt;&gt;""),L78-E78,"")</f>
        <v/>
      </c>
      <c r="Q78" s="8"/>
    </row>
    <row r="79" customFormat="false" ht="15" hidden="false" customHeight="false" outlineLevel="0" collapsed="false">
      <c r="A79" s="7"/>
      <c r="B79" s="8"/>
      <c r="C79" s="9"/>
      <c r="D79" s="9"/>
      <c r="E79" s="10"/>
      <c r="F79" s="7"/>
      <c r="G79" s="11" t="str">
        <f aca="false">IF(B79="","",IF(F79&lt;&gt;"",F79,IFERROR(INDEX(Settings!$B$5:$B$24,MATCH(D79,Settings!$A$5:$A$24,0)),Settings!$F$5)))</f>
        <v/>
      </c>
      <c r="H79" s="12" t="str">
        <f aca="false">IF(OR(B79="",E79=""),"",E79+G79)</f>
        <v/>
      </c>
      <c r="I79" s="13"/>
      <c r="J79" s="10"/>
      <c r="K79" s="13"/>
      <c r="L79" s="10"/>
      <c r="M79" s="14" t="str">
        <f aca="false">IF(B79="","",N(I79)-N(K79))</f>
        <v/>
      </c>
      <c r="N79" s="15" t="str">
        <f aca="true">IF(B79="","",IF(N(I79)=0,"Enter amount",IF(N(K79)&gt;=I79,"Paid",IF(H79="","Enter date",IF(TODAY()&gt;H79,"Overdue",IF(H79-TODAY()&lt;=Settings!$F$6,"Due Soon",IF(N(K79)&gt;0,"Partially Paid","Not Yet Due")))))))</f>
        <v/>
      </c>
      <c r="O79" s="16" t="str">
        <f aca="true">IF(OR(B79="",H79="",N79="Paid"),"",H79-TODAY())</f>
        <v/>
      </c>
      <c r="P79" s="17" t="str">
        <f aca="false">IF(AND(N79="Paid",L79&lt;&gt;"",E79&lt;&gt;""),L79-E79,"")</f>
        <v/>
      </c>
      <c r="Q79" s="8"/>
    </row>
    <row r="80" customFormat="false" ht="15" hidden="false" customHeight="false" outlineLevel="0" collapsed="false">
      <c r="A80" s="7"/>
      <c r="B80" s="8"/>
      <c r="C80" s="9"/>
      <c r="D80" s="9"/>
      <c r="E80" s="10"/>
      <c r="F80" s="7"/>
      <c r="G80" s="11" t="str">
        <f aca="false">IF(B80="","",IF(F80&lt;&gt;"",F80,IFERROR(INDEX(Settings!$B$5:$B$24,MATCH(D80,Settings!$A$5:$A$24,0)),Settings!$F$5)))</f>
        <v/>
      </c>
      <c r="H80" s="12" t="str">
        <f aca="false">IF(OR(B80="",E80=""),"",E80+G80)</f>
        <v/>
      </c>
      <c r="I80" s="13"/>
      <c r="J80" s="10"/>
      <c r="K80" s="13"/>
      <c r="L80" s="10"/>
      <c r="M80" s="14" t="str">
        <f aca="false">IF(B80="","",N(I80)-N(K80))</f>
        <v/>
      </c>
      <c r="N80" s="15" t="str">
        <f aca="true">IF(B80="","",IF(N(I80)=0,"Enter amount",IF(N(K80)&gt;=I80,"Paid",IF(H80="","Enter date",IF(TODAY()&gt;H80,"Overdue",IF(H80-TODAY()&lt;=Settings!$F$6,"Due Soon",IF(N(K80)&gt;0,"Partially Paid","Not Yet Due")))))))</f>
        <v/>
      </c>
      <c r="O80" s="16" t="str">
        <f aca="true">IF(OR(B80="",H80="",N80="Paid"),"",H80-TODAY())</f>
        <v/>
      </c>
      <c r="P80" s="17" t="str">
        <f aca="false">IF(AND(N80="Paid",L80&lt;&gt;"",E80&lt;&gt;""),L80-E80,"")</f>
        <v/>
      </c>
      <c r="Q80" s="8"/>
    </row>
    <row r="81" customFormat="false" ht="15" hidden="false" customHeight="false" outlineLevel="0" collapsed="false">
      <c r="A81" s="7"/>
      <c r="B81" s="8"/>
      <c r="C81" s="9"/>
      <c r="D81" s="9"/>
      <c r="E81" s="10"/>
      <c r="F81" s="7"/>
      <c r="G81" s="11" t="str">
        <f aca="false">IF(B81="","",IF(F81&lt;&gt;"",F81,IFERROR(INDEX(Settings!$B$5:$B$24,MATCH(D81,Settings!$A$5:$A$24,0)),Settings!$F$5)))</f>
        <v/>
      </c>
      <c r="H81" s="12" t="str">
        <f aca="false">IF(OR(B81="",E81=""),"",E81+G81)</f>
        <v/>
      </c>
      <c r="I81" s="13"/>
      <c r="J81" s="10"/>
      <c r="K81" s="13"/>
      <c r="L81" s="10"/>
      <c r="M81" s="14" t="str">
        <f aca="false">IF(B81="","",N(I81)-N(K81))</f>
        <v/>
      </c>
      <c r="N81" s="15" t="str">
        <f aca="true">IF(B81="","",IF(N(I81)=0,"Enter amount",IF(N(K81)&gt;=I81,"Paid",IF(H81="","Enter date",IF(TODAY()&gt;H81,"Overdue",IF(H81-TODAY()&lt;=Settings!$F$6,"Due Soon",IF(N(K81)&gt;0,"Partially Paid","Not Yet Due")))))))</f>
        <v/>
      </c>
      <c r="O81" s="16" t="str">
        <f aca="true">IF(OR(B81="",H81="",N81="Paid"),"",H81-TODAY())</f>
        <v/>
      </c>
      <c r="P81" s="17" t="str">
        <f aca="false">IF(AND(N81="Paid",L81&lt;&gt;"",E81&lt;&gt;""),L81-E81,"")</f>
        <v/>
      </c>
      <c r="Q81" s="8"/>
    </row>
    <row r="82" customFormat="false" ht="15" hidden="false" customHeight="false" outlineLevel="0" collapsed="false">
      <c r="A82" s="7"/>
      <c r="B82" s="8"/>
      <c r="C82" s="9"/>
      <c r="D82" s="9"/>
      <c r="E82" s="10"/>
      <c r="F82" s="7"/>
      <c r="G82" s="11" t="str">
        <f aca="false">IF(B82="","",IF(F82&lt;&gt;"",F82,IFERROR(INDEX(Settings!$B$5:$B$24,MATCH(D82,Settings!$A$5:$A$24,0)),Settings!$F$5)))</f>
        <v/>
      </c>
      <c r="H82" s="12" t="str">
        <f aca="false">IF(OR(B82="",E82=""),"",E82+G82)</f>
        <v/>
      </c>
      <c r="I82" s="13"/>
      <c r="J82" s="10"/>
      <c r="K82" s="13"/>
      <c r="L82" s="10"/>
      <c r="M82" s="14" t="str">
        <f aca="false">IF(B82="","",N(I82)-N(K82))</f>
        <v/>
      </c>
      <c r="N82" s="15" t="str">
        <f aca="true">IF(B82="","",IF(N(I82)=0,"Enter amount",IF(N(K82)&gt;=I82,"Paid",IF(H82="","Enter date",IF(TODAY()&gt;H82,"Overdue",IF(H82-TODAY()&lt;=Settings!$F$6,"Due Soon",IF(N(K82)&gt;0,"Partially Paid","Not Yet Due")))))))</f>
        <v/>
      </c>
      <c r="O82" s="16" t="str">
        <f aca="true">IF(OR(B82="",H82="",N82="Paid"),"",H82-TODAY())</f>
        <v/>
      </c>
      <c r="P82" s="17" t="str">
        <f aca="false">IF(AND(N82="Paid",L82&lt;&gt;"",E82&lt;&gt;""),L82-E82,"")</f>
        <v/>
      </c>
      <c r="Q82" s="8"/>
    </row>
    <row r="83" customFormat="false" ht="15" hidden="false" customHeight="false" outlineLevel="0" collapsed="false">
      <c r="A83" s="7"/>
      <c r="B83" s="8"/>
      <c r="C83" s="9"/>
      <c r="D83" s="9"/>
      <c r="E83" s="10"/>
      <c r="F83" s="7"/>
      <c r="G83" s="11" t="str">
        <f aca="false">IF(B83="","",IF(F83&lt;&gt;"",F83,IFERROR(INDEX(Settings!$B$5:$B$24,MATCH(D83,Settings!$A$5:$A$24,0)),Settings!$F$5)))</f>
        <v/>
      </c>
      <c r="H83" s="12" t="str">
        <f aca="false">IF(OR(B83="",E83=""),"",E83+G83)</f>
        <v/>
      </c>
      <c r="I83" s="13"/>
      <c r="J83" s="10"/>
      <c r="K83" s="13"/>
      <c r="L83" s="10"/>
      <c r="M83" s="14" t="str">
        <f aca="false">IF(B83="","",N(I83)-N(K83))</f>
        <v/>
      </c>
      <c r="N83" s="15" t="str">
        <f aca="true">IF(B83="","",IF(N(I83)=0,"Enter amount",IF(N(K83)&gt;=I83,"Paid",IF(H83="","Enter date",IF(TODAY()&gt;H83,"Overdue",IF(H83-TODAY()&lt;=Settings!$F$6,"Due Soon",IF(N(K83)&gt;0,"Partially Paid","Not Yet Due")))))))</f>
        <v/>
      </c>
      <c r="O83" s="16" t="str">
        <f aca="true">IF(OR(B83="",H83="",N83="Paid"),"",H83-TODAY())</f>
        <v/>
      </c>
      <c r="P83" s="17" t="str">
        <f aca="false">IF(AND(N83="Paid",L83&lt;&gt;"",E83&lt;&gt;""),L83-E83,"")</f>
        <v/>
      </c>
      <c r="Q83" s="8"/>
    </row>
    <row r="84" customFormat="false" ht="15" hidden="false" customHeight="false" outlineLevel="0" collapsed="false">
      <c r="A84" s="7"/>
      <c r="B84" s="8"/>
      <c r="C84" s="9"/>
      <c r="D84" s="9"/>
      <c r="E84" s="10"/>
      <c r="F84" s="7"/>
      <c r="G84" s="11" t="str">
        <f aca="false">IF(B84="","",IF(F84&lt;&gt;"",F84,IFERROR(INDEX(Settings!$B$5:$B$24,MATCH(D84,Settings!$A$5:$A$24,0)),Settings!$F$5)))</f>
        <v/>
      </c>
      <c r="H84" s="12" t="str">
        <f aca="false">IF(OR(B84="",E84=""),"",E84+G84)</f>
        <v/>
      </c>
      <c r="I84" s="13"/>
      <c r="J84" s="10"/>
      <c r="K84" s="13"/>
      <c r="L84" s="10"/>
      <c r="M84" s="14" t="str">
        <f aca="false">IF(B84="","",N(I84)-N(K84))</f>
        <v/>
      </c>
      <c r="N84" s="15" t="str">
        <f aca="true">IF(B84="","",IF(N(I84)=0,"Enter amount",IF(N(K84)&gt;=I84,"Paid",IF(H84="","Enter date",IF(TODAY()&gt;H84,"Overdue",IF(H84-TODAY()&lt;=Settings!$F$6,"Due Soon",IF(N(K84)&gt;0,"Partially Paid","Not Yet Due")))))))</f>
        <v/>
      </c>
      <c r="O84" s="16" t="str">
        <f aca="true">IF(OR(B84="",H84="",N84="Paid"),"",H84-TODAY())</f>
        <v/>
      </c>
      <c r="P84" s="17" t="str">
        <f aca="false">IF(AND(N84="Paid",L84&lt;&gt;"",E84&lt;&gt;""),L84-E84,"")</f>
        <v/>
      </c>
      <c r="Q84" s="8"/>
    </row>
    <row r="85" customFormat="false" ht="15" hidden="false" customHeight="false" outlineLevel="0" collapsed="false">
      <c r="A85" s="7"/>
      <c r="B85" s="8"/>
      <c r="C85" s="9"/>
      <c r="D85" s="9"/>
      <c r="E85" s="10"/>
      <c r="F85" s="7"/>
      <c r="G85" s="11" t="str">
        <f aca="false">IF(B85="","",IF(F85&lt;&gt;"",F85,IFERROR(INDEX(Settings!$B$5:$B$24,MATCH(D85,Settings!$A$5:$A$24,0)),Settings!$F$5)))</f>
        <v/>
      </c>
      <c r="H85" s="12" t="str">
        <f aca="false">IF(OR(B85="",E85=""),"",E85+G85)</f>
        <v/>
      </c>
      <c r="I85" s="13"/>
      <c r="J85" s="10"/>
      <c r="K85" s="13"/>
      <c r="L85" s="10"/>
      <c r="M85" s="14" t="str">
        <f aca="false">IF(B85="","",N(I85)-N(K85))</f>
        <v/>
      </c>
      <c r="N85" s="15" t="str">
        <f aca="true">IF(B85="","",IF(N(I85)=0,"Enter amount",IF(N(K85)&gt;=I85,"Paid",IF(H85="","Enter date",IF(TODAY()&gt;H85,"Overdue",IF(H85-TODAY()&lt;=Settings!$F$6,"Due Soon",IF(N(K85)&gt;0,"Partially Paid","Not Yet Due")))))))</f>
        <v/>
      </c>
      <c r="O85" s="16" t="str">
        <f aca="true">IF(OR(B85="",H85="",N85="Paid"),"",H85-TODAY())</f>
        <v/>
      </c>
      <c r="P85" s="17" t="str">
        <f aca="false">IF(AND(N85="Paid",L85&lt;&gt;"",E85&lt;&gt;""),L85-E85,"")</f>
        <v/>
      </c>
      <c r="Q85" s="8"/>
    </row>
    <row r="86" customFormat="false" ht="15" hidden="false" customHeight="false" outlineLevel="0" collapsed="false">
      <c r="A86" s="7"/>
      <c r="B86" s="8"/>
      <c r="C86" s="9"/>
      <c r="D86" s="9"/>
      <c r="E86" s="10"/>
      <c r="F86" s="7"/>
      <c r="G86" s="11" t="str">
        <f aca="false">IF(B86="","",IF(F86&lt;&gt;"",F86,IFERROR(INDEX(Settings!$B$5:$B$24,MATCH(D86,Settings!$A$5:$A$24,0)),Settings!$F$5)))</f>
        <v/>
      </c>
      <c r="H86" s="12" t="str">
        <f aca="false">IF(OR(B86="",E86=""),"",E86+G86)</f>
        <v/>
      </c>
      <c r="I86" s="13"/>
      <c r="J86" s="10"/>
      <c r="K86" s="13"/>
      <c r="L86" s="10"/>
      <c r="M86" s="14" t="str">
        <f aca="false">IF(B86="","",N(I86)-N(K86))</f>
        <v/>
      </c>
      <c r="N86" s="15" t="str">
        <f aca="true">IF(B86="","",IF(N(I86)=0,"Enter amount",IF(N(K86)&gt;=I86,"Paid",IF(H86="","Enter date",IF(TODAY()&gt;H86,"Overdue",IF(H86-TODAY()&lt;=Settings!$F$6,"Due Soon",IF(N(K86)&gt;0,"Partially Paid","Not Yet Due")))))))</f>
        <v/>
      </c>
      <c r="O86" s="16" t="str">
        <f aca="true">IF(OR(B86="",H86="",N86="Paid"),"",H86-TODAY())</f>
        <v/>
      </c>
      <c r="P86" s="17" t="str">
        <f aca="false">IF(AND(N86="Paid",L86&lt;&gt;"",E86&lt;&gt;""),L86-E86,"")</f>
        <v/>
      </c>
      <c r="Q86" s="8"/>
    </row>
    <row r="87" customFormat="false" ht="15" hidden="false" customHeight="false" outlineLevel="0" collapsed="false">
      <c r="A87" s="7"/>
      <c r="B87" s="8"/>
      <c r="C87" s="9"/>
      <c r="D87" s="9"/>
      <c r="E87" s="10"/>
      <c r="F87" s="7"/>
      <c r="G87" s="11" t="str">
        <f aca="false">IF(B87="","",IF(F87&lt;&gt;"",F87,IFERROR(INDEX(Settings!$B$5:$B$24,MATCH(D87,Settings!$A$5:$A$24,0)),Settings!$F$5)))</f>
        <v/>
      </c>
      <c r="H87" s="12" t="str">
        <f aca="false">IF(OR(B87="",E87=""),"",E87+G87)</f>
        <v/>
      </c>
      <c r="I87" s="13"/>
      <c r="J87" s="10"/>
      <c r="K87" s="13"/>
      <c r="L87" s="10"/>
      <c r="M87" s="14" t="str">
        <f aca="false">IF(B87="","",N(I87)-N(K87))</f>
        <v/>
      </c>
      <c r="N87" s="15" t="str">
        <f aca="true">IF(B87="","",IF(N(I87)=0,"Enter amount",IF(N(K87)&gt;=I87,"Paid",IF(H87="","Enter date",IF(TODAY()&gt;H87,"Overdue",IF(H87-TODAY()&lt;=Settings!$F$6,"Due Soon",IF(N(K87)&gt;0,"Partially Paid","Not Yet Due")))))))</f>
        <v/>
      </c>
      <c r="O87" s="16" t="str">
        <f aca="true">IF(OR(B87="",H87="",N87="Paid"),"",H87-TODAY())</f>
        <v/>
      </c>
      <c r="P87" s="17" t="str">
        <f aca="false">IF(AND(N87="Paid",L87&lt;&gt;"",E87&lt;&gt;""),L87-E87,"")</f>
        <v/>
      </c>
      <c r="Q87" s="8"/>
    </row>
    <row r="88" customFormat="false" ht="15" hidden="false" customHeight="false" outlineLevel="0" collapsed="false">
      <c r="A88" s="7"/>
      <c r="B88" s="8"/>
      <c r="C88" s="9"/>
      <c r="D88" s="9"/>
      <c r="E88" s="10"/>
      <c r="F88" s="7"/>
      <c r="G88" s="11" t="str">
        <f aca="false">IF(B88="","",IF(F88&lt;&gt;"",F88,IFERROR(INDEX(Settings!$B$5:$B$24,MATCH(D88,Settings!$A$5:$A$24,0)),Settings!$F$5)))</f>
        <v/>
      </c>
      <c r="H88" s="12" t="str">
        <f aca="false">IF(OR(B88="",E88=""),"",E88+G88)</f>
        <v/>
      </c>
      <c r="I88" s="13"/>
      <c r="J88" s="10"/>
      <c r="K88" s="13"/>
      <c r="L88" s="10"/>
      <c r="M88" s="14" t="str">
        <f aca="false">IF(B88="","",N(I88)-N(K88))</f>
        <v/>
      </c>
      <c r="N88" s="15" t="str">
        <f aca="true">IF(B88="","",IF(N(I88)=0,"Enter amount",IF(N(K88)&gt;=I88,"Paid",IF(H88="","Enter date",IF(TODAY()&gt;H88,"Overdue",IF(H88-TODAY()&lt;=Settings!$F$6,"Due Soon",IF(N(K88)&gt;0,"Partially Paid","Not Yet Due")))))))</f>
        <v/>
      </c>
      <c r="O88" s="16" t="str">
        <f aca="true">IF(OR(B88="",H88="",N88="Paid"),"",H88-TODAY())</f>
        <v/>
      </c>
      <c r="P88" s="17" t="str">
        <f aca="false">IF(AND(N88="Paid",L88&lt;&gt;"",E88&lt;&gt;""),L88-E88,"")</f>
        <v/>
      </c>
      <c r="Q88" s="8"/>
    </row>
    <row r="89" customFormat="false" ht="15" hidden="false" customHeight="false" outlineLevel="0" collapsed="false">
      <c r="A89" s="7"/>
      <c r="B89" s="8"/>
      <c r="C89" s="9"/>
      <c r="D89" s="9"/>
      <c r="E89" s="10"/>
      <c r="F89" s="7"/>
      <c r="G89" s="11" t="str">
        <f aca="false">IF(B89="","",IF(F89&lt;&gt;"",F89,IFERROR(INDEX(Settings!$B$5:$B$24,MATCH(D89,Settings!$A$5:$A$24,0)),Settings!$F$5)))</f>
        <v/>
      </c>
      <c r="H89" s="12" t="str">
        <f aca="false">IF(OR(B89="",E89=""),"",E89+G89)</f>
        <v/>
      </c>
      <c r="I89" s="13"/>
      <c r="J89" s="10"/>
      <c r="K89" s="13"/>
      <c r="L89" s="10"/>
      <c r="M89" s="14" t="str">
        <f aca="false">IF(B89="","",N(I89)-N(K89))</f>
        <v/>
      </c>
      <c r="N89" s="15" t="str">
        <f aca="true">IF(B89="","",IF(N(I89)=0,"Enter amount",IF(N(K89)&gt;=I89,"Paid",IF(H89="","Enter date",IF(TODAY()&gt;H89,"Overdue",IF(H89-TODAY()&lt;=Settings!$F$6,"Due Soon",IF(N(K89)&gt;0,"Partially Paid","Not Yet Due")))))))</f>
        <v/>
      </c>
      <c r="O89" s="16" t="str">
        <f aca="true">IF(OR(B89="",H89="",N89="Paid"),"",H89-TODAY())</f>
        <v/>
      </c>
      <c r="P89" s="17" t="str">
        <f aca="false">IF(AND(N89="Paid",L89&lt;&gt;"",E89&lt;&gt;""),L89-E89,"")</f>
        <v/>
      </c>
      <c r="Q89" s="8"/>
    </row>
    <row r="90" customFormat="false" ht="15" hidden="false" customHeight="false" outlineLevel="0" collapsed="false">
      <c r="A90" s="7"/>
      <c r="B90" s="8"/>
      <c r="C90" s="9"/>
      <c r="D90" s="9"/>
      <c r="E90" s="10"/>
      <c r="F90" s="7"/>
      <c r="G90" s="11" t="str">
        <f aca="false">IF(B90="","",IF(F90&lt;&gt;"",F90,IFERROR(INDEX(Settings!$B$5:$B$24,MATCH(D90,Settings!$A$5:$A$24,0)),Settings!$F$5)))</f>
        <v/>
      </c>
      <c r="H90" s="12" t="str">
        <f aca="false">IF(OR(B90="",E90=""),"",E90+G90)</f>
        <v/>
      </c>
      <c r="I90" s="13"/>
      <c r="J90" s="10"/>
      <c r="K90" s="13"/>
      <c r="L90" s="10"/>
      <c r="M90" s="14" t="str">
        <f aca="false">IF(B90="","",N(I90)-N(K90))</f>
        <v/>
      </c>
      <c r="N90" s="15" t="str">
        <f aca="true">IF(B90="","",IF(N(I90)=0,"Enter amount",IF(N(K90)&gt;=I90,"Paid",IF(H90="","Enter date",IF(TODAY()&gt;H90,"Overdue",IF(H90-TODAY()&lt;=Settings!$F$6,"Due Soon",IF(N(K90)&gt;0,"Partially Paid","Not Yet Due")))))))</f>
        <v/>
      </c>
      <c r="O90" s="16" t="str">
        <f aca="true">IF(OR(B90="",H90="",N90="Paid"),"",H90-TODAY())</f>
        <v/>
      </c>
      <c r="P90" s="17" t="str">
        <f aca="false">IF(AND(N90="Paid",L90&lt;&gt;"",E90&lt;&gt;""),L90-E90,"")</f>
        <v/>
      </c>
      <c r="Q90" s="8"/>
    </row>
    <row r="91" customFormat="false" ht="15" hidden="false" customHeight="false" outlineLevel="0" collapsed="false">
      <c r="A91" s="7"/>
      <c r="B91" s="8"/>
      <c r="C91" s="9"/>
      <c r="D91" s="9"/>
      <c r="E91" s="10"/>
      <c r="F91" s="7"/>
      <c r="G91" s="11" t="str">
        <f aca="false">IF(B91="","",IF(F91&lt;&gt;"",F91,IFERROR(INDEX(Settings!$B$5:$B$24,MATCH(D91,Settings!$A$5:$A$24,0)),Settings!$F$5)))</f>
        <v/>
      </c>
      <c r="H91" s="12" t="str">
        <f aca="false">IF(OR(B91="",E91=""),"",E91+G91)</f>
        <v/>
      </c>
      <c r="I91" s="13"/>
      <c r="J91" s="10"/>
      <c r="K91" s="13"/>
      <c r="L91" s="10"/>
      <c r="M91" s="14" t="str">
        <f aca="false">IF(B91="","",N(I91)-N(K91))</f>
        <v/>
      </c>
      <c r="N91" s="15" t="str">
        <f aca="true">IF(B91="","",IF(N(I91)=0,"Enter amount",IF(N(K91)&gt;=I91,"Paid",IF(H91="","Enter date",IF(TODAY()&gt;H91,"Overdue",IF(H91-TODAY()&lt;=Settings!$F$6,"Due Soon",IF(N(K91)&gt;0,"Partially Paid","Not Yet Due")))))))</f>
        <v/>
      </c>
      <c r="O91" s="16" t="str">
        <f aca="true">IF(OR(B91="",H91="",N91="Paid"),"",H91-TODAY())</f>
        <v/>
      </c>
      <c r="P91" s="17" t="str">
        <f aca="false">IF(AND(N91="Paid",L91&lt;&gt;"",E91&lt;&gt;""),L91-E91,"")</f>
        <v/>
      </c>
      <c r="Q91" s="8"/>
    </row>
    <row r="92" customFormat="false" ht="15" hidden="false" customHeight="false" outlineLevel="0" collapsed="false">
      <c r="A92" s="7"/>
      <c r="B92" s="8"/>
      <c r="C92" s="9"/>
      <c r="D92" s="9"/>
      <c r="E92" s="10"/>
      <c r="F92" s="7"/>
      <c r="G92" s="11" t="str">
        <f aca="false">IF(B92="","",IF(F92&lt;&gt;"",F92,IFERROR(INDEX(Settings!$B$5:$B$24,MATCH(D92,Settings!$A$5:$A$24,0)),Settings!$F$5)))</f>
        <v/>
      </c>
      <c r="H92" s="12" t="str">
        <f aca="false">IF(OR(B92="",E92=""),"",E92+G92)</f>
        <v/>
      </c>
      <c r="I92" s="13"/>
      <c r="J92" s="10"/>
      <c r="K92" s="13"/>
      <c r="L92" s="10"/>
      <c r="M92" s="14" t="str">
        <f aca="false">IF(B92="","",N(I92)-N(K92))</f>
        <v/>
      </c>
      <c r="N92" s="15" t="str">
        <f aca="true">IF(B92="","",IF(N(I92)=0,"Enter amount",IF(N(K92)&gt;=I92,"Paid",IF(H92="","Enter date",IF(TODAY()&gt;H92,"Overdue",IF(H92-TODAY()&lt;=Settings!$F$6,"Due Soon",IF(N(K92)&gt;0,"Partially Paid","Not Yet Due")))))))</f>
        <v/>
      </c>
      <c r="O92" s="16" t="str">
        <f aca="true">IF(OR(B92="",H92="",N92="Paid"),"",H92-TODAY())</f>
        <v/>
      </c>
      <c r="P92" s="17" t="str">
        <f aca="false">IF(AND(N92="Paid",L92&lt;&gt;"",E92&lt;&gt;""),L92-E92,"")</f>
        <v/>
      </c>
      <c r="Q92" s="8"/>
    </row>
    <row r="93" customFormat="false" ht="15" hidden="false" customHeight="false" outlineLevel="0" collapsed="false">
      <c r="A93" s="7"/>
      <c r="B93" s="8"/>
      <c r="C93" s="9"/>
      <c r="D93" s="9"/>
      <c r="E93" s="10"/>
      <c r="F93" s="7"/>
      <c r="G93" s="11" t="str">
        <f aca="false">IF(B93="","",IF(F93&lt;&gt;"",F93,IFERROR(INDEX(Settings!$B$5:$B$24,MATCH(D93,Settings!$A$5:$A$24,0)),Settings!$F$5)))</f>
        <v/>
      </c>
      <c r="H93" s="12" t="str">
        <f aca="false">IF(OR(B93="",E93=""),"",E93+G93)</f>
        <v/>
      </c>
      <c r="I93" s="13"/>
      <c r="J93" s="10"/>
      <c r="K93" s="13"/>
      <c r="L93" s="10"/>
      <c r="M93" s="14" t="str">
        <f aca="false">IF(B93="","",N(I93)-N(K93))</f>
        <v/>
      </c>
      <c r="N93" s="15" t="str">
        <f aca="true">IF(B93="","",IF(N(I93)=0,"Enter amount",IF(N(K93)&gt;=I93,"Paid",IF(H93="","Enter date",IF(TODAY()&gt;H93,"Overdue",IF(H93-TODAY()&lt;=Settings!$F$6,"Due Soon",IF(N(K93)&gt;0,"Partially Paid","Not Yet Due")))))))</f>
        <v/>
      </c>
      <c r="O93" s="16" t="str">
        <f aca="true">IF(OR(B93="",H93="",N93="Paid"),"",H93-TODAY())</f>
        <v/>
      </c>
      <c r="P93" s="17" t="str">
        <f aca="false">IF(AND(N93="Paid",L93&lt;&gt;"",E93&lt;&gt;""),L93-E93,"")</f>
        <v/>
      </c>
      <c r="Q93" s="8"/>
    </row>
    <row r="94" customFormat="false" ht="15" hidden="false" customHeight="false" outlineLevel="0" collapsed="false">
      <c r="A94" s="7"/>
      <c r="B94" s="8"/>
      <c r="C94" s="9"/>
      <c r="D94" s="9"/>
      <c r="E94" s="10"/>
      <c r="F94" s="7"/>
      <c r="G94" s="11" t="str">
        <f aca="false">IF(B94="","",IF(F94&lt;&gt;"",F94,IFERROR(INDEX(Settings!$B$5:$B$24,MATCH(D94,Settings!$A$5:$A$24,0)),Settings!$F$5)))</f>
        <v/>
      </c>
      <c r="H94" s="12" t="str">
        <f aca="false">IF(OR(B94="",E94=""),"",E94+G94)</f>
        <v/>
      </c>
      <c r="I94" s="13"/>
      <c r="J94" s="10"/>
      <c r="K94" s="13"/>
      <c r="L94" s="10"/>
      <c r="M94" s="14" t="str">
        <f aca="false">IF(B94="","",N(I94)-N(K94))</f>
        <v/>
      </c>
      <c r="N94" s="15" t="str">
        <f aca="true">IF(B94="","",IF(N(I94)=0,"Enter amount",IF(N(K94)&gt;=I94,"Paid",IF(H94="","Enter date",IF(TODAY()&gt;H94,"Overdue",IF(H94-TODAY()&lt;=Settings!$F$6,"Due Soon",IF(N(K94)&gt;0,"Partially Paid","Not Yet Due")))))))</f>
        <v/>
      </c>
      <c r="O94" s="16" t="str">
        <f aca="true">IF(OR(B94="",H94="",N94="Paid"),"",H94-TODAY())</f>
        <v/>
      </c>
      <c r="P94" s="17" t="str">
        <f aca="false">IF(AND(N94="Paid",L94&lt;&gt;"",E94&lt;&gt;""),L94-E94,"")</f>
        <v/>
      </c>
      <c r="Q94" s="8"/>
    </row>
    <row r="95" customFormat="false" ht="15" hidden="false" customHeight="false" outlineLevel="0" collapsed="false">
      <c r="A95" s="7"/>
      <c r="B95" s="8"/>
      <c r="C95" s="9"/>
      <c r="D95" s="9"/>
      <c r="E95" s="10"/>
      <c r="F95" s="7"/>
      <c r="G95" s="11" t="str">
        <f aca="false">IF(B95="","",IF(F95&lt;&gt;"",F95,IFERROR(INDEX(Settings!$B$5:$B$24,MATCH(D95,Settings!$A$5:$A$24,0)),Settings!$F$5)))</f>
        <v/>
      </c>
      <c r="H95" s="12" t="str">
        <f aca="false">IF(OR(B95="",E95=""),"",E95+G95)</f>
        <v/>
      </c>
      <c r="I95" s="13"/>
      <c r="J95" s="10"/>
      <c r="K95" s="13"/>
      <c r="L95" s="10"/>
      <c r="M95" s="14" t="str">
        <f aca="false">IF(B95="","",N(I95)-N(K95))</f>
        <v/>
      </c>
      <c r="N95" s="15" t="str">
        <f aca="true">IF(B95="","",IF(N(I95)=0,"Enter amount",IF(N(K95)&gt;=I95,"Paid",IF(H95="","Enter date",IF(TODAY()&gt;H95,"Overdue",IF(H95-TODAY()&lt;=Settings!$F$6,"Due Soon",IF(N(K95)&gt;0,"Partially Paid","Not Yet Due")))))))</f>
        <v/>
      </c>
      <c r="O95" s="16" t="str">
        <f aca="true">IF(OR(B95="",H95="",N95="Paid"),"",H95-TODAY())</f>
        <v/>
      </c>
      <c r="P95" s="17" t="str">
        <f aca="false">IF(AND(N95="Paid",L95&lt;&gt;"",E95&lt;&gt;""),L95-E95,"")</f>
        <v/>
      </c>
      <c r="Q95" s="8"/>
    </row>
    <row r="96" customFormat="false" ht="15" hidden="false" customHeight="false" outlineLevel="0" collapsed="false">
      <c r="A96" s="7"/>
      <c r="B96" s="8"/>
      <c r="C96" s="9"/>
      <c r="D96" s="9"/>
      <c r="E96" s="10"/>
      <c r="F96" s="7"/>
      <c r="G96" s="11" t="str">
        <f aca="false">IF(B96="","",IF(F96&lt;&gt;"",F96,IFERROR(INDEX(Settings!$B$5:$B$24,MATCH(D96,Settings!$A$5:$A$24,0)),Settings!$F$5)))</f>
        <v/>
      </c>
      <c r="H96" s="12" t="str">
        <f aca="false">IF(OR(B96="",E96=""),"",E96+G96)</f>
        <v/>
      </c>
      <c r="I96" s="13"/>
      <c r="J96" s="10"/>
      <c r="K96" s="13"/>
      <c r="L96" s="10"/>
      <c r="M96" s="14" t="str">
        <f aca="false">IF(B96="","",N(I96)-N(K96))</f>
        <v/>
      </c>
      <c r="N96" s="15" t="str">
        <f aca="true">IF(B96="","",IF(N(I96)=0,"Enter amount",IF(N(K96)&gt;=I96,"Paid",IF(H96="","Enter date",IF(TODAY()&gt;H96,"Overdue",IF(H96-TODAY()&lt;=Settings!$F$6,"Due Soon",IF(N(K96)&gt;0,"Partially Paid","Not Yet Due")))))))</f>
        <v/>
      </c>
      <c r="O96" s="16" t="str">
        <f aca="true">IF(OR(B96="",H96="",N96="Paid"),"",H96-TODAY())</f>
        <v/>
      </c>
      <c r="P96" s="17" t="str">
        <f aca="false">IF(AND(N96="Paid",L96&lt;&gt;"",E96&lt;&gt;""),L96-E96,"")</f>
        <v/>
      </c>
      <c r="Q96" s="8"/>
    </row>
    <row r="97" customFormat="false" ht="15" hidden="false" customHeight="false" outlineLevel="0" collapsed="false">
      <c r="A97" s="7"/>
      <c r="B97" s="8"/>
      <c r="C97" s="9"/>
      <c r="D97" s="9"/>
      <c r="E97" s="10"/>
      <c r="F97" s="7"/>
      <c r="G97" s="11" t="str">
        <f aca="false">IF(B97="","",IF(F97&lt;&gt;"",F97,IFERROR(INDEX(Settings!$B$5:$B$24,MATCH(D97,Settings!$A$5:$A$24,0)),Settings!$F$5)))</f>
        <v/>
      </c>
      <c r="H97" s="12" t="str">
        <f aca="false">IF(OR(B97="",E97=""),"",E97+G97)</f>
        <v/>
      </c>
      <c r="I97" s="13"/>
      <c r="J97" s="10"/>
      <c r="K97" s="13"/>
      <c r="L97" s="10"/>
      <c r="M97" s="14" t="str">
        <f aca="false">IF(B97="","",N(I97)-N(K97))</f>
        <v/>
      </c>
      <c r="N97" s="15" t="str">
        <f aca="true">IF(B97="","",IF(N(I97)=0,"Enter amount",IF(N(K97)&gt;=I97,"Paid",IF(H97="","Enter date",IF(TODAY()&gt;H97,"Overdue",IF(H97-TODAY()&lt;=Settings!$F$6,"Due Soon",IF(N(K97)&gt;0,"Partially Paid","Not Yet Due")))))))</f>
        <v/>
      </c>
      <c r="O97" s="16" t="str">
        <f aca="true">IF(OR(B97="",H97="",N97="Paid"),"",H97-TODAY())</f>
        <v/>
      </c>
      <c r="P97" s="17" t="str">
        <f aca="false">IF(AND(N97="Paid",L97&lt;&gt;"",E97&lt;&gt;""),L97-E97,"")</f>
        <v/>
      </c>
      <c r="Q97" s="8"/>
    </row>
    <row r="98" customFormat="false" ht="15" hidden="false" customHeight="false" outlineLevel="0" collapsed="false">
      <c r="A98" s="7"/>
      <c r="B98" s="8"/>
      <c r="C98" s="9"/>
      <c r="D98" s="9"/>
      <c r="E98" s="10"/>
      <c r="F98" s="7"/>
      <c r="G98" s="11" t="str">
        <f aca="false">IF(B98="","",IF(F98&lt;&gt;"",F98,IFERROR(INDEX(Settings!$B$5:$B$24,MATCH(D98,Settings!$A$5:$A$24,0)),Settings!$F$5)))</f>
        <v/>
      </c>
      <c r="H98" s="12" t="str">
        <f aca="false">IF(OR(B98="",E98=""),"",E98+G98)</f>
        <v/>
      </c>
      <c r="I98" s="13"/>
      <c r="J98" s="10"/>
      <c r="K98" s="13"/>
      <c r="L98" s="10"/>
      <c r="M98" s="14" t="str">
        <f aca="false">IF(B98="","",N(I98)-N(K98))</f>
        <v/>
      </c>
      <c r="N98" s="15" t="str">
        <f aca="true">IF(B98="","",IF(N(I98)=0,"Enter amount",IF(N(K98)&gt;=I98,"Paid",IF(H98="","Enter date",IF(TODAY()&gt;H98,"Overdue",IF(H98-TODAY()&lt;=Settings!$F$6,"Due Soon",IF(N(K98)&gt;0,"Partially Paid","Not Yet Due")))))))</f>
        <v/>
      </c>
      <c r="O98" s="16" t="str">
        <f aca="true">IF(OR(B98="",H98="",N98="Paid"),"",H98-TODAY())</f>
        <v/>
      </c>
      <c r="P98" s="17" t="str">
        <f aca="false">IF(AND(N98="Paid",L98&lt;&gt;"",E98&lt;&gt;""),L98-E98,"")</f>
        <v/>
      </c>
      <c r="Q98" s="8"/>
    </row>
    <row r="99" customFormat="false" ht="15" hidden="false" customHeight="false" outlineLevel="0" collapsed="false">
      <c r="A99" s="7"/>
      <c r="B99" s="8"/>
      <c r="C99" s="9"/>
      <c r="D99" s="9"/>
      <c r="E99" s="10"/>
      <c r="F99" s="7"/>
      <c r="G99" s="11" t="str">
        <f aca="false">IF(B99="","",IF(F99&lt;&gt;"",F99,IFERROR(INDEX(Settings!$B$5:$B$24,MATCH(D99,Settings!$A$5:$A$24,0)),Settings!$F$5)))</f>
        <v/>
      </c>
      <c r="H99" s="12" t="str">
        <f aca="false">IF(OR(B99="",E99=""),"",E99+G99)</f>
        <v/>
      </c>
      <c r="I99" s="13"/>
      <c r="J99" s="10"/>
      <c r="K99" s="13"/>
      <c r="L99" s="10"/>
      <c r="M99" s="14" t="str">
        <f aca="false">IF(B99="","",N(I99)-N(K99))</f>
        <v/>
      </c>
      <c r="N99" s="15" t="str">
        <f aca="true">IF(B99="","",IF(N(I99)=0,"Enter amount",IF(N(K99)&gt;=I99,"Paid",IF(H99="","Enter date",IF(TODAY()&gt;H99,"Overdue",IF(H99-TODAY()&lt;=Settings!$F$6,"Due Soon",IF(N(K99)&gt;0,"Partially Paid","Not Yet Due")))))))</f>
        <v/>
      </c>
      <c r="O99" s="16" t="str">
        <f aca="true">IF(OR(B99="",H99="",N99="Paid"),"",H99-TODAY())</f>
        <v/>
      </c>
      <c r="P99" s="17" t="str">
        <f aca="false">IF(AND(N99="Paid",L99&lt;&gt;"",E99&lt;&gt;""),L99-E99,"")</f>
        <v/>
      </c>
      <c r="Q99" s="8"/>
    </row>
    <row r="100" customFormat="false" ht="15" hidden="false" customHeight="false" outlineLevel="0" collapsed="false">
      <c r="A100" s="7"/>
      <c r="B100" s="8"/>
      <c r="C100" s="9"/>
      <c r="D100" s="9"/>
      <c r="E100" s="10"/>
      <c r="F100" s="7"/>
      <c r="G100" s="11" t="str">
        <f aca="false">IF(B100="","",IF(F100&lt;&gt;"",F100,IFERROR(INDEX(Settings!$B$5:$B$24,MATCH(D100,Settings!$A$5:$A$24,0)),Settings!$F$5)))</f>
        <v/>
      </c>
      <c r="H100" s="12" t="str">
        <f aca="false">IF(OR(B100="",E100=""),"",E100+G100)</f>
        <v/>
      </c>
      <c r="I100" s="13"/>
      <c r="J100" s="10"/>
      <c r="K100" s="13"/>
      <c r="L100" s="10"/>
      <c r="M100" s="14" t="str">
        <f aca="false">IF(B100="","",N(I100)-N(K100))</f>
        <v/>
      </c>
      <c r="N100" s="15" t="str">
        <f aca="true">IF(B100="","",IF(N(I100)=0,"Enter amount",IF(N(K100)&gt;=I100,"Paid",IF(H100="","Enter date",IF(TODAY()&gt;H100,"Overdue",IF(H100-TODAY()&lt;=Settings!$F$6,"Due Soon",IF(N(K100)&gt;0,"Partially Paid","Not Yet Due")))))))</f>
        <v/>
      </c>
      <c r="O100" s="16" t="str">
        <f aca="true">IF(OR(B100="",H100="",N100="Paid"),"",H100-TODAY())</f>
        <v/>
      </c>
      <c r="P100" s="17" t="str">
        <f aca="false">IF(AND(N100="Paid",L100&lt;&gt;"",E100&lt;&gt;""),L100-E100,"")</f>
        <v/>
      </c>
      <c r="Q100" s="8"/>
    </row>
    <row r="101" customFormat="false" ht="15" hidden="false" customHeight="false" outlineLevel="0" collapsed="false">
      <c r="A101" s="7"/>
      <c r="B101" s="8"/>
      <c r="C101" s="9"/>
      <c r="D101" s="9"/>
      <c r="E101" s="10"/>
      <c r="F101" s="7"/>
      <c r="G101" s="11" t="str">
        <f aca="false">IF(B101="","",IF(F101&lt;&gt;"",F101,IFERROR(INDEX(Settings!$B$5:$B$24,MATCH(D101,Settings!$A$5:$A$24,0)),Settings!$F$5)))</f>
        <v/>
      </c>
      <c r="H101" s="12" t="str">
        <f aca="false">IF(OR(B101="",E101=""),"",E101+G101)</f>
        <v/>
      </c>
      <c r="I101" s="13"/>
      <c r="J101" s="10"/>
      <c r="K101" s="13"/>
      <c r="L101" s="10"/>
      <c r="M101" s="14" t="str">
        <f aca="false">IF(B101="","",N(I101)-N(K101))</f>
        <v/>
      </c>
      <c r="N101" s="15" t="str">
        <f aca="true">IF(B101="","",IF(N(I101)=0,"Enter amount",IF(N(K101)&gt;=I101,"Paid",IF(H101="","Enter date",IF(TODAY()&gt;H101,"Overdue",IF(H101-TODAY()&lt;=Settings!$F$6,"Due Soon",IF(N(K101)&gt;0,"Partially Paid","Not Yet Due")))))))</f>
        <v/>
      </c>
      <c r="O101" s="16" t="str">
        <f aca="true">IF(OR(B101="",H101="",N101="Paid"),"",H101-TODAY())</f>
        <v/>
      </c>
      <c r="P101" s="17" t="str">
        <f aca="false">IF(AND(N101="Paid",L101&lt;&gt;"",E101&lt;&gt;""),L101-E101,"")</f>
        <v/>
      </c>
      <c r="Q101" s="8"/>
    </row>
    <row r="102" customFormat="false" ht="15" hidden="false" customHeight="false" outlineLevel="0" collapsed="false">
      <c r="A102" s="7"/>
      <c r="B102" s="8"/>
      <c r="C102" s="9"/>
      <c r="D102" s="9"/>
      <c r="E102" s="10"/>
      <c r="F102" s="7"/>
      <c r="G102" s="11" t="str">
        <f aca="false">IF(B102="","",IF(F102&lt;&gt;"",F102,IFERROR(INDEX(Settings!$B$5:$B$24,MATCH(D102,Settings!$A$5:$A$24,0)),Settings!$F$5)))</f>
        <v/>
      </c>
      <c r="H102" s="12" t="str">
        <f aca="false">IF(OR(B102="",E102=""),"",E102+G102)</f>
        <v/>
      </c>
      <c r="I102" s="13"/>
      <c r="J102" s="10"/>
      <c r="K102" s="13"/>
      <c r="L102" s="10"/>
      <c r="M102" s="14" t="str">
        <f aca="false">IF(B102="","",N(I102)-N(K102))</f>
        <v/>
      </c>
      <c r="N102" s="15" t="str">
        <f aca="true">IF(B102="","",IF(N(I102)=0,"Enter amount",IF(N(K102)&gt;=I102,"Paid",IF(H102="","Enter date",IF(TODAY()&gt;H102,"Overdue",IF(H102-TODAY()&lt;=Settings!$F$6,"Due Soon",IF(N(K102)&gt;0,"Partially Paid","Not Yet Due")))))))</f>
        <v/>
      </c>
      <c r="O102" s="16" t="str">
        <f aca="true">IF(OR(B102="",H102="",N102="Paid"),"",H102-TODAY())</f>
        <v/>
      </c>
      <c r="P102" s="17" t="str">
        <f aca="false">IF(AND(N102="Paid",L102&lt;&gt;"",E102&lt;&gt;""),L102-E102,"")</f>
        <v/>
      </c>
      <c r="Q102" s="8"/>
    </row>
    <row r="103" customFormat="false" ht="15" hidden="false" customHeight="false" outlineLevel="0" collapsed="false">
      <c r="A103" s="7"/>
      <c r="B103" s="8"/>
      <c r="C103" s="9"/>
      <c r="D103" s="9"/>
      <c r="E103" s="10"/>
      <c r="F103" s="7"/>
      <c r="G103" s="11" t="str">
        <f aca="false">IF(B103="","",IF(F103&lt;&gt;"",F103,IFERROR(INDEX(Settings!$B$5:$B$24,MATCH(D103,Settings!$A$5:$A$24,0)),Settings!$F$5)))</f>
        <v/>
      </c>
      <c r="H103" s="12" t="str">
        <f aca="false">IF(OR(B103="",E103=""),"",E103+G103)</f>
        <v/>
      </c>
      <c r="I103" s="13"/>
      <c r="J103" s="10"/>
      <c r="K103" s="13"/>
      <c r="L103" s="10"/>
      <c r="M103" s="14" t="str">
        <f aca="false">IF(B103="","",N(I103)-N(K103))</f>
        <v/>
      </c>
      <c r="N103" s="15" t="str">
        <f aca="true">IF(B103="","",IF(N(I103)=0,"Enter amount",IF(N(K103)&gt;=I103,"Paid",IF(H103="","Enter date",IF(TODAY()&gt;H103,"Overdue",IF(H103-TODAY()&lt;=Settings!$F$6,"Due Soon",IF(N(K103)&gt;0,"Partially Paid","Not Yet Due")))))))</f>
        <v/>
      </c>
      <c r="O103" s="16" t="str">
        <f aca="true">IF(OR(B103="",H103="",N103="Paid"),"",H103-TODAY())</f>
        <v/>
      </c>
      <c r="P103" s="17" t="str">
        <f aca="false">IF(AND(N103="Paid",L103&lt;&gt;"",E103&lt;&gt;""),L103-E103,"")</f>
        <v/>
      </c>
      <c r="Q103" s="8"/>
    </row>
    <row r="104" customFormat="false" ht="15" hidden="false" customHeight="false" outlineLevel="0" collapsed="false">
      <c r="A104" s="7"/>
      <c r="B104" s="8"/>
      <c r="C104" s="9"/>
      <c r="D104" s="9"/>
      <c r="E104" s="10"/>
      <c r="F104" s="7"/>
      <c r="G104" s="11" t="str">
        <f aca="false">IF(B104="","",IF(F104&lt;&gt;"",F104,IFERROR(INDEX(Settings!$B$5:$B$24,MATCH(D104,Settings!$A$5:$A$24,0)),Settings!$F$5)))</f>
        <v/>
      </c>
      <c r="H104" s="12" t="str">
        <f aca="false">IF(OR(B104="",E104=""),"",E104+G104)</f>
        <v/>
      </c>
      <c r="I104" s="13"/>
      <c r="J104" s="10"/>
      <c r="K104" s="13"/>
      <c r="L104" s="10"/>
      <c r="M104" s="14" t="str">
        <f aca="false">IF(B104="","",N(I104)-N(K104))</f>
        <v/>
      </c>
      <c r="N104" s="15" t="str">
        <f aca="true">IF(B104="","",IF(N(I104)=0,"Enter amount",IF(N(K104)&gt;=I104,"Paid",IF(H104="","Enter date",IF(TODAY()&gt;H104,"Overdue",IF(H104-TODAY()&lt;=Settings!$F$6,"Due Soon",IF(N(K104)&gt;0,"Partially Paid","Not Yet Due")))))))</f>
        <v/>
      </c>
      <c r="O104" s="16" t="str">
        <f aca="true">IF(OR(B104="",H104="",N104="Paid"),"",H104-TODAY())</f>
        <v/>
      </c>
      <c r="P104" s="17" t="str">
        <f aca="false">IF(AND(N104="Paid",L104&lt;&gt;"",E104&lt;&gt;""),L104-E104,"")</f>
        <v/>
      </c>
      <c r="Q104" s="8"/>
    </row>
    <row r="105" customFormat="false" ht="15" hidden="false" customHeight="false" outlineLevel="0" collapsed="false">
      <c r="A105" s="7"/>
      <c r="B105" s="8"/>
      <c r="C105" s="9"/>
      <c r="D105" s="9"/>
      <c r="E105" s="10"/>
      <c r="F105" s="7"/>
      <c r="G105" s="11" t="str">
        <f aca="false">IF(B105="","",IF(F105&lt;&gt;"",F105,IFERROR(INDEX(Settings!$B$5:$B$24,MATCH(D105,Settings!$A$5:$A$24,0)),Settings!$F$5)))</f>
        <v/>
      </c>
      <c r="H105" s="12" t="str">
        <f aca="false">IF(OR(B105="",E105=""),"",E105+G105)</f>
        <v/>
      </c>
      <c r="I105" s="13"/>
      <c r="J105" s="10"/>
      <c r="K105" s="13"/>
      <c r="L105" s="10"/>
      <c r="M105" s="14" t="str">
        <f aca="false">IF(B105="","",N(I105)-N(K105))</f>
        <v/>
      </c>
      <c r="N105" s="15" t="str">
        <f aca="true">IF(B105="","",IF(N(I105)=0,"Enter amount",IF(N(K105)&gt;=I105,"Paid",IF(H105="","Enter date",IF(TODAY()&gt;H105,"Overdue",IF(H105-TODAY()&lt;=Settings!$F$6,"Due Soon",IF(N(K105)&gt;0,"Partially Paid","Not Yet Due")))))))</f>
        <v/>
      </c>
      <c r="O105" s="16" t="str">
        <f aca="true">IF(OR(B105="",H105="",N105="Paid"),"",H105-TODAY())</f>
        <v/>
      </c>
      <c r="P105" s="17" t="str">
        <f aca="false">IF(AND(N105="Paid",L105&lt;&gt;"",E105&lt;&gt;""),L105-E105,"")</f>
        <v/>
      </c>
      <c r="Q105" s="8"/>
    </row>
    <row r="106" customFormat="false" ht="15" hidden="false" customHeight="false" outlineLevel="0" collapsed="false">
      <c r="A106" s="7"/>
      <c r="B106" s="8"/>
      <c r="C106" s="9"/>
      <c r="D106" s="9"/>
      <c r="E106" s="10"/>
      <c r="F106" s="7"/>
      <c r="G106" s="11" t="str">
        <f aca="false">IF(B106="","",IF(F106&lt;&gt;"",F106,IFERROR(INDEX(Settings!$B$5:$B$24,MATCH(D106,Settings!$A$5:$A$24,0)),Settings!$F$5)))</f>
        <v/>
      </c>
      <c r="H106" s="12" t="str">
        <f aca="false">IF(OR(B106="",E106=""),"",E106+G106)</f>
        <v/>
      </c>
      <c r="I106" s="13"/>
      <c r="J106" s="10"/>
      <c r="K106" s="13"/>
      <c r="L106" s="10"/>
      <c r="M106" s="14" t="str">
        <f aca="false">IF(B106="","",N(I106)-N(K106))</f>
        <v/>
      </c>
      <c r="N106" s="15" t="str">
        <f aca="true">IF(B106="","",IF(N(I106)=0,"Enter amount",IF(N(K106)&gt;=I106,"Paid",IF(H106="","Enter date",IF(TODAY()&gt;H106,"Overdue",IF(H106-TODAY()&lt;=Settings!$F$6,"Due Soon",IF(N(K106)&gt;0,"Partially Paid","Not Yet Due")))))))</f>
        <v/>
      </c>
      <c r="O106" s="16" t="str">
        <f aca="true">IF(OR(B106="",H106="",N106="Paid"),"",H106-TODAY())</f>
        <v/>
      </c>
      <c r="P106" s="17" t="str">
        <f aca="false">IF(AND(N106="Paid",L106&lt;&gt;"",E106&lt;&gt;""),L106-E106,"")</f>
        <v/>
      </c>
      <c r="Q106" s="8"/>
    </row>
    <row r="107" customFormat="false" ht="15" hidden="false" customHeight="false" outlineLevel="0" collapsed="false">
      <c r="A107" s="7"/>
      <c r="B107" s="8"/>
      <c r="C107" s="9"/>
      <c r="D107" s="9"/>
      <c r="E107" s="10"/>
      <c r="F107" s="7"/>
      <c r="G107" s="11" t="str">
        <f aca="false">IF(B107="","",IF(F107&lt;&gt;"",F107,IFERROR(INDEX(Settings!$B$5:$B$24,MATCH(D107,Settings!$A$5:$A$24,0)),Settings!$F$5)))</f>
        <v/>
      </c>
      <c r="H107" s="12" t="str">
        <f aca="false">IF(OR(B107="",E107=""),"",E107+G107)</f>
        <v/>
      </c>
      <c r="I107" s="13"/>
      <c r="J107" s="10"/>
      <c r="K107" s="13"/>
      <c r="L107" s="10"/>
      <c r="M107" s="14" t="str">
        <f aca="false">IF(B107="","",N(I107)-N(K107))</f>
        <v/>
      </c>
      <c r="N107" s="15" t="str">
        <f aca="true">IF(B107="","",IF(N(I107)=0,"Enter amount",IF(N(K107)&gt;=I107,"Paid",IF(H107="","Enter date",IF(TODAY()&gt;H107,"Overdue",IF(H107-TODAY()&lt;=Settings!$F$6,"Due Soon",IF(N(K107)&gt;0,"Partially Paid","Not Yet Due")))))))</f>
        <v/>
      </c>
      <c r="O107" s="16" t="str">
        <f aca="true">IF(OR(B107="",H107="",N107="Paid"),"",H107-TODAY())</f>
        <v/>
      </c>
      <c r="P107" s="17" t="str">
        <f aca="false">IF(AND(N107="Paid",L107&lt;&gt;"",E107&lt;&gt;""),L107-E107,"")</f>
        <v/>
      </c>
      <c r="Q107" s="8"/>
    </row>
    <row r="108" customFormat="false" ht="15" hidden="false" customHeight="false" outlineLevel="0" collapsed="false">
      <c r="A108" s="7"/>
      <c r="B108" s="8"/>
      <c r="C108" s="9"/>
      <c r="D108" s="9"/>
      <c r="E108" s="10"/>
      <c r="F108" s="7"/>
      <c r="G108" s="11" t="str">
        <f aca="false">IF(B108="","",IF(F108&lt;&gt;"",F108,IFERROR(INDEX(Settings!$B$5:$B$24,MATCH(D108,Settings!$A$5:$A$24,0)),Settings!$F$5)))</f>
        <v/>
      </c>
      <c r="H108" s="12" t="str">
        <f aca="false">IF(OR(B108="",E108=""),"",E108+G108)</f>
        <v/>
      </c>
      <c r="I108" s="13"/>
      <c r="J108" s="10"/>
      <c r="K108" s="13"/>
      <c r="L108" s="10"/>
      <c r="M108" s="14" t="str">
        <f aca="false">IF(B108="","",N(I108)-N(K108))</f>
        <v/>
      </c>
      <c r="N108" s="15" t="str">
        <f aca="true">IF(B108="","",IF(N(I108)=0,"Enter amount",IF(N(K108)&gt;=I108,"Paid",IF(H108="","Enter date",IF(TODAY()&gt;H108,"Overdue",IF(H108-TODAY()&lt;=Settings!$F$6,"Due Soon",IF(N(K108)&gt;0,"Partially Paid","Not Yet Due")))))))</f>
        <v/>
      </c>
      <c r="O108" s="16" t="str">
        <f aca="true">IF(OR(B108="",H108="",N108="Paid"),"",H108-TODAY())</f>
        <v/>
      </c>
      <c r="P108" s="17" t="str">
        <f aca="false">IF(AND(N108="Paid",L108&lt;&gt;"",E108&lt;&gt;""),L108-E108,"")</f>
        <v/>
      </c>
      <c r="Q108" s="8"/>
    </row>
    <row r="109" customFormat="false" ht="15" hidden="false" customHeight="false" outlineLevel="0" collapsed="false">
      <c r="A109" s="7"/>
      <c r="B109" s="8"/>
      <c r="C109" s="9"/>
      <c r="D109" s="9"/>
      <c r="E109" s="10"/>
      <c r="F109" s="7"/>
      <c r="G109" s="11" t="str">
        <f aca="false">IF(B109="","",IF(F109&lt;&gt;"",F109,IFERROR(INDEX(Settings!$B$5:$B$24,MATCH(D109,Settings!$A$5:$A$24,0)),Settings!$F$5)))</f>
        <v/>
      </c>
      <c r="H109" s="12" t="str">
        <f aca="false">IF(OR(B109="",E109=""),"",E109+G109)</f>
        <v/>
      </c>
      <c r="I109" s="13"/>
      <c r="J109" s="10"/>
      <c r="K109" s="13"/>
      <c r="L109" s="10"/>
      <c r="M109" s="14" t="str">
        <f aca="false">IF(B109="","",N(I109)-N(K109))</f>
        <v/>
      </c>
      <c r="N109" s="15" t="str">
        <f aca="true">IF(B109="","",IF(N(I109)=0,"Enter amount",IF(N(K109)&gt;=I109,"Paid",IF(H109="","Enter date",IF(TODAY()&gt;H109,"Overdue",IF(H109-TODAY()&lt;=Settings!$F$6,"Due Soon",IF(N(K109)&gt;0,"Partially Paid","Not Yet Due")))))))</f>
        <v/>
      </c>
      <c r="O109" s="16" t="str">
        <f aca="true">IF(OR(B109="",H109="",N109="Paid"),"",H109-TODAY())</f>
        <v/>
      </c>
      <c r="P109" s="17" t="str">
        <f aca="false">IF(AND(N109="Paid",L109&lt;&gt;"",E109&lt;&gt;""),L109-E109,"")</f>
        <v/>
      </c>
      <c r="Q109" s="8"/>
    </row>
    <row r="110" customFormat="false" ht="15" hidden="false" customHeight="false" outlineLevel="0" collapsed="false">
      <c r="A110" s="7"/>
      <c r="B110" s="8"/>
      <c r="C110" s="9"/>
      <c r="D110" s="9"/>
      <c r="E110" s="10"/>
      <c r="F110" s="7"/>
      <c r="G110" s="11" t="str">
        <f aca="false">IF(B110="","",IF(F110&lt;&gt;"",F110,IFERROR(INDEX(Settings!$B$5:$B$24,MATCH(D110,Settings!$A$5:$A$24,0)),Settings!$F$5)))</f>
        <v/>
      </c>
      <c r="H110" s="12" t="str">
        <f aca="false">IF(OR(B110="",E110=""),"",E110+G110)</f>
        <v/>
      </c>
      <c r="I110" s="13"/>
      <c r="J110" s="10"/>
      <c r="K110" s="13"/>
      <c r="L110" s="10"/>
      <c r="M110" s="14" t="str">
        <f aca="false">IF(B110="","",N(I110)-N(K110))</f>
        <v/>
      </c>
      <c r="N110" s="15" t="str">
        <f aca="true">IF(B110="","",IF(N(I110)=0,"Enter amount",IF(N(K110)&gt;=I110,"Paid",IF(H110="","Enter date",IF(TODAY()&gt;H110,"Overdue",IF(H110-TODAY()&lt;=Settings!$F$6,"Due Soon",IF(N(K110)&gt;0,"Partially Paid","Not Yet Due")))))))</f>
        <v/>
      </c>
      <c r="O110" s="16" t="str">
        <f aca="true">IF(OR(B110="",H110="",N110="Paid"),"",H110-TODAY())</f>
        <v/>
      </c>
      <c r="P110" s="17" t="str">
        <f aca="false">IF(AND(N110="Paid",L110&lt;&gt;"",E110&lt;&gt;""),L110-E110,"")</f>
        <v/>
      </c>
      <c r="Q110" s="8"/>
    </row>
    <row r="111" customFormat="false" ht="15" hidden="false" customHeight="false" outlineLevel="0" collapsed="false">
      <c r="A111" s="7"/>
      <c r="B111" s="8"/>
      <c r="C111" s="9"/>
      <c r="D111" s="9"/>
      <c r="E111" s="10"/>
      <c r="F111" s="7"/>
      <c r="G111" s="11" t="str">
        <f aca="false">IF(B111="","",IF(F111&lt;&gt;"",F111,IFERROR(INDEX(Settings!$B$5:$B$24,MATCH(D111,Settings!$A$5:$A$24,0)),Settings!$F$5)))</f>
        <v/>
      </c>
      <c r="H111" s="12" t="str">
        <f aca="false">IF(OR(B111="",E111=""),"",E111+G111)</f>
        <v/>
      </c>
      <c r="I111" s="13"/>
      <c r="J111" s="10"/>
      <c r="K111" s="13"/>
      <c r="L111" s="10"/>
      <c r="M111" s="14" t="str">
        <f aca="false">IF(B111="","",N(I111)-N(K111))</f>
        <v/>
      </c>
      <c r="N111" s="15" t="str">
        <f aca="true">IF(B111="","",IF(N(I111)=0,"Enter amount",IF(N(K111)&gt;=I111,"Paid",IF(H111="","Enter date",IF(TODAY()&gt;H111,"Overdue",IF(H111-TODAY()&lt;=Settings!$F$6,"Due Soon",IF(N(K111)&gt;0,"Partially Paid","Not Yet Due")))))))</f>
        <v/>
      </c>
      <c r="O111" s="16" t="str">
        <f aca="true">IF(OR(B111="",H111="",N111="Paid"),"",H111-TODAY())</f>
        <v/>
      </c>
      <c r="P111" s="17" t="str">
        <f aca="false">IF(AND(N111="Paid",L111&lt;&gt;"",E111&lt;&gt;""),L111-E111,"")</f>
        <v/>
      </c>
      <c r="Q111" s="8"/>
    </row>
    <row r="112" customFormat="false" ht="15" hidden="false" customHeight="false" outlineLevel="0" collapsed="false">
      <c r="A112" s="7"/>
      <c r="B112" s="8"/>
      <c r="C112" s="9"/>
      <c r="D112" s="9"/>
      <c r="E112" s="10"/>
      <c r="F112" s="7"/>
      <c r="G112" s="11" t="str">
        <f aca="false">IF(B112="","",IF(F112&lt;&gt;"",F112,IFERROR(INDEX(Settings!$B$5:$B$24,MATCH(D112,Settings!$A$5:$A$24,0)),Settings!$F$5)))</f>
        <v/>
      </c>
      <c r="H112" s="12" t="str">
        <f aca="false">IF(OR(B112="",E112=""),"",E112+G112)</f>
        <v/>
      </c>
      <c r="I112" s="13"/>
      <c r="J112" s="10"/>
      <c r="K112" s="13"/>
      <c r="L112" s="10"/>
      <c r="M112" s="14" t="str">
        <f aca="false">IF(B112="","",N(I112)-N(K112))</f>
        <v/>
      </c>
      <c r="N112" s="15" t="str">
        <f aca="true">IF(B112="","",IF(N(I112)=0,"Enter amount",IF(N(K112)&gt;=I112,"Paid",IF(H112="","Enter date",IF(TODAY()&gt;H112,"Overdue",IF(H112-TODAY()&lt;=Settings!$F$6,"Due Soon",IF(N(K112)&gt;0,"Partially Paid","Not Yet Due")))))))</f>
        <v/>
      </c>
      <c r="O112" s="16" t="str">
        <f aca="true">IF(OR(B112="",H112="",N112="Paid"),"",H112-TODAY())</f>
        <v/>
      </c>
      <c r="P112" s="17" t="str">
        <f aca="false">IF(AND(N112="Paid",L112&lt;&gt;"",E112&lt;&gt;""),L112-E112,"")</f>
        <v/>
      </c>
      <c r="Q112" s="8"/>
    </row>
    <row r="113" customFormat="false" ht="15" hidden="false" customHeight="false" outlineLevel="0" collapsed="false">
      <c r="A113" s="7"/>
      <c r="B113" s="8"/>
      <c r="C113" s="9"/>
      <c r="D113" s="9"/>
      <c r="E113" s="10"/>
      <c r="F113" s="7"/>
      <c r="G113" s="11" t="str">
        <f aca="false">IF(B113="","",IF(F113&lt;&gt;"",F113,IFERROR(INDEX(Settings!$B$5:$B$24,MATCH(D113,Settings!$A$5:$A$24,0)),Settings!$F$5)))</f>
        <v/>
      </c>
      <c r="H113" s="12" t="str">
        <f aca="false">IF(OR(B113="",E113=""),"",E113+G113)</f>
        <v/>
      </c>
      <c r="I113" s="13"/>
      <c r="J113" s="10"/>
      <c r="K113" s="13"/>
      <c r="L113" s="10"/>
      <c r="M113" s="14" t="str">
        <f aca="false">IF(B113="","",N(I113)-N(K113))</f>
        <v/>
      </c>
      <c r="N113" s="15" t="str">
        <f aca="true">IF(B113="","",IF(N(I113)=0,"Enter amount",IF(N(K113)&gt;=I113,"Paid",IF(H113="","Enter date",IF(TODAY()&gt;H113,"Overdue",IF(H113-TODAY()&lt;=Settings!$F$6,"Due Soon",IF(N(K113)&gt;0,"Partially Paid","Not Yet Due")))))))</f>
        <v/>
      </c>
      <c r="O113" s="16" t="str">
        <f aca="true">IF(OR(B113="",H113="",N113="Paid"),"",H113-TODAY())</f>
        <v/>
      </c>
      <c r="P113" s="17" t="str">
        <f aca="false">IF(AND(N113="Paid",L113&lt;&gt;"",E113&lt;&gt;""),L113-E113,"")</f>
        <v/>
      </c>
      <c r="Q113" s="8"/>
    </row>
    <row r="114" customFormat="false" ht="15" hidden="false" customHeight="false" outlineLevel="0" collapsed="false">
      <c r="A114" s="7"/>
      <c r="B114" s="8"/>
      <c r="C114" s="9"/>
      <c r="D114" s="9"/>
      <c r="E114" s="10"/>
      <c r="F114" s="7"/>
      <c r="G114" s="11" t="str">
        <f aca="false">IF(B114="","",IF(F114&lt;&gt;"",F114,IFERROR(INDEX(Settings!$B$5:$B$24,MATCH(D114,Settings!$A$5:$A$24,0)),Settings!$F$5)))</f>
        <v/>
      </c>
      <c r="H114" s="12" t="str">
        <f aca="false">IF(OR(B114="",E114=""),"",E114+G114)</f>
        <v/>
      </c>
      <c r="I114" s="13"/>
      <c r="J114" s="10"/>
      <c r="K114" s="13"/>
      <c r="L114" s="10"/>
      <c r="M114" s="14" t="str">
        <f aca="false">IF(B114="","",N(I114)-N(K114))</f>
        <v/>
      </c>
      <c r="N114" s="15" t="str">
        <f aca="true">IF(B114="","",IF(N(I114)=0,"Enter amount",IF(N(K114)&gt;=I114,"Paid",IF(H114="","Enter date",IF(TODAY()&gt;H114,"Overdue",IF(H114-TODAY()&lt;=Settings!$F$6,"Due Soon",IF(N(K114)&gt;0,"Partially Paid","Not Yet Due")))))))</f>
        <v/>
      </c>
      <c r="O114" s="16" t="str">
        <f aca="true">IF(OR(B114="",H114="",N114="Paid"),"",H114-TODAY())</f>
        <v/>
      </c>
      <c r="P114" s="17" t="str">
        <f aca="false">IF(AND(N114="Paid",L114&lt;&gt;"",E114&lt;&gt;""),L114-E114,"")</f>
        <v/>
      </c>
      <c r="Q114" s="8"/>
    </row>
    <row r="115" customFormat="false" ht="15" hidden="false" customHeight="false" outlineLevel="0" collapsed="false">
      <c r="A115" s="7"/>
      <c r="B115" s="8"/>
      <c r="C115" s="9"/>
      <c r="D115" s="9"/>
      <c r="E115" s="10"/>
      <c r="F115" s="7"/>
      <c r="G115" s="11" t="str">
        <f aca="false">IF(B115="","",IF(F115&lt;&gt;"",F115,IFERROR(INDEX(Settings!$B$5:$B$24,MATCH(D115,Settings!$A$5:$A$24,0)),Settings!$F$5)))</f>
        <v/>
      </c>
      <c r="H115" s="12" t="str">
        <f aca="false">IF(OR(B115="",E115=""),"",E115+G115)</f>
        <v/>
      </c>
      <c r="I115" s="13"/>
      <c r="J115" s="10"/>
      <c r="K115" s="13"/>
      <c r="L115" s="10"/>
      <c r="M115" s="14" t="str">
        <f aca="false">IF(B115="","",N(I115)-N(K115))</f>
        <v/>
      </c>
      <c r="N115" s="15" t="str">
        <f aca="true">IF(B115="","",IF(N(I115)=0,"Enter amount",IF(N(K115)&gt;=I115,"Paid",IF(H115="","Enter date",IF(TODAY()&gt;H115,"Overdue",IF(H115-TODAY()&lt;=Settings!$F$6,"Due Soon",IF(N(K115)&gt;0,"Partially Paid","Not Yet Due")))))))</f>
        <v/>
      </c>
      <c r="O115" s="16" t="str">
        <f aca="true">IF(OR(B115="",H115="",N115="Paid"),"",H115-TODAY())</f>
        <v/>
      </c>
      <c r="P115" s="17" t="str">
        <f aca="false">IF(AND(N115="Paid",L115&lt;&gt;"",E115&lt;&gt;""),L115-E115,"")</f>
        <v/>
      </c>
      <c r="Q115" s="8"/>
    </row>
    <row r="116" customFormat="false" ht="15" hidden="false" customHeight="false" outlineLevel="0" collapsed="false">
      <c r="A116" s="7"/>
      <c r="B116" s="8"/>
      <c r="C116" s="9"/>
      <c r="D116" s="9"/>
      <c r="E116" s="10"/>
      <c r="F116" s="7"/>
      <c r="G116" s="11" t="str">
        <f aca="false">IF(B116="","",IF(F116&lt;&gt;"",F116,IFERROR(INDEX(Settings!$B$5:$B$24,MATCH(D116,Settings!$A$5:$A$24,0)),Settings!$F$5)))</f>
        <v/>
      </c>
      <c r="H116" s="12" t="str">
        <f aca="false">IF(OR(B116="",E116=""),"",E116+G116)</f>
        <v/>
      </c>
      <c r="I116" s="13"/>
      <c r="J116" s="10"/>
      <c r="K116" s="13"/>
      <c r="L116" s="10"/>
      <c r="M116" s="14" t="str">
        <f aca="false">IF(B116="","",N(I116)-N(K116))</f>
        <v/>
      </c>
      <c r="N116" s="15" t="str">
        <f aca="true">IF(B116="","",IF(N(I116)=0,"Enter amount",IF(N(K116)&gt;=I116,"Paid",IF(H116="","Enter date",IF(TODAY()&gt;H116,"Overdue",IF(H116-TODAY()&lt;=Settings!$F$6,"Due Soon",IF(N(K116)&gt;0,"Partially Paid","Not Yet Due")))))))</f>
        <v/>
      </c>
      <c r="O116" s="16" t="str">
        <f aca="true">IF(OR(B116="",H116="",N116="Paid"),"",H116-TODAY())</f>
        <v/>
      </c>
      <c r="P116" s="17" t="str">
        <f aca="false">IF(AND(N116="Paid",L116&lt;&gt;"",E116&lt;&gt;""),L116-E116,"")</f>
        <v/>
      </c>
      <c r="Q116" s="8"/>
    </row>
    <row r="117" customFormat="false" ht="15" hidden="false" customHeight="false" outlineLevel="0" collapsed="false">
      <c r="A117" s="7"/>
      <c r="B117" s="8"/>
      <c r="C117" s="9"/>
      <c r="D117" s="9"/>
      <c r="E117" s="10"/>
      <c r="F117" s="7"/>
      <c r="G117" s="11" t="str">
        <f aca="false">IF(B117="","",IF(F117&lt;&gt;"",F117,IFERROR(INDEX(Settings!$B$5:$B$24,MATCH(D117,Settings!$A$5:$A$24,0)),Settings!$F$5)))</f>
        <v/>
      </c>
      <c r="H117" s="12" t="str">
        <f aca="false">IF(OR(B117="",E117=""),"",E117+G117)</f>
        <v/>
      </c>
      <c r="I117" s="13"/>
      <c r="J117" s="10"/>
      <c r="K117" s="13"/>
      <c r="L117" s="10"/>
      <c r="M117" s="14" t="str">
        <f aca="false">IF(B117="","",N(I117)-N(K117))</f>
        <v/>
      </c>
      <c r="N117" s="15" t="str">
        <f aca="true">IF(B117="","",IF(N(I117)=0,"Enter amount",IF(N(K117)&gt;=I117,"Paid",IF(H117="","Enter date",IF(TODAY()&gt;H117,"Overdue",IF(H117-TODAY()&lt;=Settings!$F$6,"Due Soon",IF(N(K117)&gt;0,"Partially Paid","Not Yet Due")))))))</f>
        <v/>
      </c>
      <c r="O117" s="16" t="str">
        <f aca="true">IF(OR(B117="",H117="",N117="Paid"),"",H117-TODAY())</f>
        <v/>
      </c>
      <c r="P117" s="17" t="str">
        <f aca="false">IF(AND(N117="Paid",L117&lt;&gt;"",E117&lt;&gt;""),L117-E117,"")</f>
        <v/>
      </c>
      <c r="Q117" s="8"/>
    </row>
    <row r="118" customFormat="false" ht="15" hidden="false" customHeight="false" outlineLevel="0" collapsed="false">
      <c r="A118" s="7"/>
      <c r="B118" s="8"/>
      <c r="C118" s="9"/>
      <c r="D118" s="9"/>
      <c r="E118" s="10"/>
      <c r="F118" s="7"/>
      <c r="G118" s="11" t="str">
        <f aca="false">IF(B118="","",IF(F118&lt;&gt;"",F118,IFERROR(INDEX(Settings!$B$5:$B$24,MATCH(D118,Settings!$A$5:$A$24,0)),Settings!$F$5)))</f>
        <v/>
      </c>
      <c r="H118" s="12" t="str">
        <f aca="false">IF(OR(B118="",E118=""),"",E118+G118)</f>
        <v/>
      </c>
      <c r="I118" s="13"/>
      <c r="J118" s="10"/>
      <c r="K118" s="13"/>
      <c r="L118" s="10"/>
      <c r="M118" s="14" t="str">
        <f aca="false">IF(B118="","",N(I118)-N(K118))</f>
        <v/>
      </c>
      <c r="N118" s="15" t="str">
        <f aca="true">IF(B118="","",IF(N(I118)=0,"Enter amount",IF(N(K118)&gt;=I118,"Paid",IF(H118="","Enter date",IF(TODAY()&gt;H118,"Overdue",IF(H118-TODAY()&lt;=Settings!$F$6,"Due Soon",IF(N(K118)&gt;0,"Partially Paid","Not Yet Due")))))))</f>
        <v/>
      </c>
      <c r="O118" s="16" t="str">
        <f aca="true">IF(OR(B118="",H118="",N118="Paid"),"",H118-TODAY())</f>
        <v/>
      </c>
      <c r="P118" s="17" t="str">
        <f aca="false">IF(AND(N118="Paid",L118&lt;&gt;"",E118&lt;&gt;""),L118-E118,"")</f>
        <v/>
      </c>
      <c r="Q118" s="8"/>
    </row>
    <row r="119" customFormat="false" ht="15" hidden="false" customHeight="false" outlineLevel="0" collapsed="false">
      <c r="A119" s="7"/>
      <c r="B119" s="8"/>
      <c r="C119" s="9"/>
      <c r="D119" s="9"/>
      <c r="E119" s="10"/>
      <c r="F119" s="7"/>
      <c r="G119" s="11" t="str">
        <f aca="false">IF(B119="","",IF(F119&lt;&gt;"",F119,IFERROR(INDEX(Settings!$B$5:$B$24,MATCH(D119,Settings!$A$5:$A$24,0)),Settings!$F$5)))</f>
        <v/>
      </c>
      <c r="H119" s="12" t="str">
        <f aca="false">IF(OR(B119="",E119=""),"",E119+G119)</f>
        <v/>
      </c>
      <c r="I119" s="13"/>
      <c r="J119" s="10"/>
      <c r="K119" s="13"/>
      <c r="L119" s="10"/>
      <c r="M119" s="14" t="str">
        <f aca="false">IF(B119="","",N(I119)-N(K119))</f>
        <v/>
      </c>
      <c r="N119" s="15" t="str">
        <f aca="true">IF(B119="","",IF(N(I119)=0,"Enter amount",IF(N(K119)&gt;=I119,"Paid",IF(H119="","Enter date",IF(TODAY()&gt;H119,"Overdue",IF(H119-TODAY()&lt;=Settings!$F$6,"Due Soon",IF(N(K119)&gt;0,"Partially Paid","Not Yet Due")))))))</f>
        <v/>
      </c>
      <c r="O119" s="16" t="str">
        <f aca="true">IF(OR(B119="",H119="",N119="Paid"),"",H119-TODAY())</f>
        <v/>
      </c>
      <c r="P119" s="17" t="str">
        <f aca="false">IF(AND(N119="Paid",L119&lt;&gt;"",E119&lt;&gt;""),L119-E119,"")</f>
        <v/>
      </c>
      <c r="Q119" s="8"/>
    </row>
    <row r="120" customFormat="false" ht="15" hidden="false" customHeight="false" outlineLevel="0" collapsed="false">
      <c r="A120" s="7"/>
      <c r="B120" s="8"/>
      <c r="C120" s="9"/>
      <c r="D120" s="9"/>
      <c r="E120" s="10"/>
      <c r="F120" s="7"/>
      <c r="G120" s="11" t="str">
        <f aca="false">IF(B120="","",IF(F120&lt;&gt;"",F120,IFERROR(INDEX(Settings!$B$5:$B$24,MATCH(D120,Settings!$A$5:$A$24,0)),Settings!$F$5)))</f>
        <v/>
      </c>
      <c r="H120" s="12" t="str">
        <f aca="false">IF(OR(B120="",E120=""),"",E120+G120)</f>
        <v/>
      </c>
      <c r="I120" s="13"/>
      <c r="J120" s="10"/>
      <c r="K120" s="13"/>
      <c r="L120" s="10"/>
      <c r="M120" s="14" t="str">
        <f aca="false">IF(B120="","",N(I120)-N(K120))</f>
        <v/>
      </c>
      <c r="N120" s="15" t="str">
        <f aca="true">IF(B120="","",IF(N(I120)=0,"Enter amount",IF(N(K120)&gt;=I120,"Paid",IF(H120="","Enter date",IF(TODAY()&gt;H120,"Overdue",IF(H120-TODAY()&lt;=Settings!$F$6,"Due Soon",IF(N(K120)&gt;0,"Partially Paid","Not Yet Due")))))))</f>
        <v/>
      </c>
      <c r="O120" s="16" t="str">
        <f aca="true">IF(OR(B120="",H120="",N120="Paid"),"",H120-TODAY())</f>
        <v/>
      </c>
      <c r="P120" s="17" t="str">
        <f aca="false">IF(AND(N120="Paid",L120&lt;&gt;"",E120&lt;&gt;""),L120-E120,"")</f>
        <v/>
      </c>
      <c r="Q120" s="8"/>
    </row>
    <row r="121" customFormat="false" ht="15" hidden="false" customHeight="false" outlineLevel="0" collapsed="false">
      <c r="A121" s="7"/>
      <c r="B121" s="8"/>
      <c r="C121" s="9"/>
      <c r="D121" s="9"/>
      <c r="E121" s="10"/>
      <c r="F121" s="7"/>
      <c r="G121" s="11" t="str">
        <f aca="false">IF(B121="","",IF(F121&lt;&gt;"",F121,IFERROR(INDEX(Settings!$B$5:$B$24,MATCH(D121,Settings!$A$5:$A$24,0)),Settings!$F$5)))</f>
        <v/>
      </c>
      <c r="H121" s="12" t="str">
        <f aca="false">IF(OR(B121="",E121=""),"",E121+G121)</f>
        <v/>
      </c>
      <c r="I121" s="13"/>
      <c r="J121" s="10"/>
      <c r="K121" s="13"/>
      <c r="L121" s="10"/>
      <c r="M121" s="14" t="str">
        <f aca="false">IF(B121="","",N(I121)-N(K121))</f>
        <v/>
      </c>
      <c r="N121" s="15" t="str">
        <f aca="true">IF(B121="","",IF(N(I121)=0,"Enter amount",IF(N(K121)&gt;=I121,"Paid",IF(H121="","Enter date",IF(TODAY()&gt;H121,"Overdue",IF(H121-TODAY()&lt;=Settings!$F$6,"Due Soon",IF(N(K121)&gt;0,"Partially Paid","Not Yet Due")))))))</f>
        <v/>
      </c>
      <c r="O121" s="16" t="str">
        <f aca="true">IF(OR(B121="",H121="",N121="Paid"),"",H121-TODAY())</f>
        <v/>
      </c>
      <c r="P121" s="17" t="str">
        <f aca="false">IF(AND(N121="Paid",L121&lt;&gt;"",E121&lt;&gt;""),L121-E121,"")</f>
        <v/>
      </c>
      <c r="Q121" s="8"/>
    </row>
    <row r="122" customFormat="false" ht="15" hidden="false" customHeight="false" outlineLevel="0" collapsed="false">
      <c r="A122" s="7"/>
      <c r="B122" s="8"/>
      <c r="C122" s="9"/>
      <c r="D122" s="9"/>
      <c r="E122" s="10"/>
      <c r="F122" s="7"/>
      <c r="G122" s="11" t="str">
        <f aca="false">IF(B122="","",IF(F122&lt;&gt;"",F122,IFERROR(INDEX(Settings!$B$5:$B$24,MATCH(D122,Settings!$A$5:$A$24,0)),Settings!$F$5)))</f>
        <v/>
      </c>
      <c r="H122" s="12" t="str">
        <f aca="false">IF(OR(B122="",E122=""),"",E122+G122)</f>
        <v/>
      </c>
      <c r="I122" s="13"/>
      <c r="J122" s="10"/>
      <c r="K122" s="13"/>
      <c r="L122" s="10"/>
      <c r="M122" s="14" t="str">
        <f aca="false">IF(B122="","",N(I122)-N(K122))</f>
        <v/>
      </c>
      <c r="N122" s="15" t="str">
        <f aca="true">IF(B122="","",IF(N(I122)=0,"Enter amount",IF(N(K122)&gt;=I122,"Paid",IF(H122="","Enter date",IF(TODAY()&gt;H122,"Overdue",IF(H122-TODAY()&lt;=Settings!$F$6,"Due Soon",IF(N(K122)&gt;0,"Partially Paid","Not Yet Due")))))))</f>
        <v/>
      </c>
      <c r="O122" s="16" t="str">
        <f aca="true">IF(OR(B122="",H122="",N122="Paid"),"",H122-TODAY())</f>
        <v/>
      </c>
      <c r="P122" s="17" t="str">
        <f aca="false">IF(AND(N122="Paid",L122&lt;&gt;"",E122&lt;&gt;""),L122-E122,"")</f>
        <v/>
      </c>
      <c r="Q122" s="8"/>
    </row>
    <row r="123" customFormat="false" ht="15" hidden="false" customHeight="false" outlineLevel="0" collapsed="false">
      <c r="A123" s="7"/>
      <c r="B123" s="8"/>
      <c r="C123" s="9"/>
      <c r="D123" s="9"/>
      <c r="E123" s="10"/>
      <c r="F123" s="7"/>
      <c r="G123" s="11" t="str">
        <f aca="false">IF(B123="","",IF(F123&lt;&gt;"",F123,IFERROR(INDEX(Settings!$B$5:$B$24,MATCH(D123,Settings!$A$5:$A$24,0)),Settings!$F$5)))</f>
        <v/>
      </c>
      <c r="H123" s="12" t="str">
        <f aca="false">IF(OR(B123="",E123=""),"",E123+G123)</f>
        <v/>
      </c>
      <c r="I123" s="13"/>
      <c r="J123" s="10"/>
      <c r="K123" s="13"/>
      <c r="L123" s="10"/>
      <c r="M123" s="14" t="str">
        <f aca="false">IF(B123="","",N(I123)-N(K123))</f>
        <v/>
      </c>
      <c r="N123" s="15" t="str">
        <f aca="true">IF(B123="","",IF(N(I123)=0,"Enter amount",IF(N(K123)&gt;=I123,"Paid",IF(H123="","Enter date",IF(TODAY()&gt;H123,"Overdue",IF(H123-TODAY()&lt;=Settings!$F$6,"Due Soon",IF(N(K123)&gt;0,"Partially Paid","Not Yet Due")))))))</f>
        <v/>
      </c>
      <c r="O123" s="16" t="str">
        <f aca="true">IF(OR(B123="",H123="",N123="Paid"),"",H123-TODAY())</f>
        <v/>
      </c>
      <c r="P123" s="17" t="str">
        <f aca="false">IF(AND(N123="Paid",L123&lt;&gt;"",E123&lt;&gt;""),L123-E123,"")</f>
        <v/>
      </c>
      <c r="Q123" s="8"/>
    </row>
    <row r="124" customFormat="false" ht="15" hidden="false" customHeight="false" outlineLevel="0" collapsed="false">
      <c r="A124" s="7"/>
      <c r="B124" s="8"/>
      <c r="C124" s="9"/>
      <c r="D124" s="9"/>
      <c r="E124" s="10"/>
      <c r="F124" s="7"/>
      <c r="G124" s="11" t="str">
        <f aca="false">IF(B124="","",IF(F124&lt;&gt;"",F124,IFERROR(INDEX(Settings!$B$5:$B$24,MATCH(D124,Settings!$A$5:$A$24,0)),Settings!$F$5)))</f>
        <v/>
      </c>
      <c r="H124" s="12" t="str">
        <f aca="false">IF(OR(B124="",E124=""),"",E124+G124)</f>
        <v/>
      </c>
      <c r="I124" s="13"/>
      <c r="J124" s="10"/>
      <c r="K124" s="13"/>
      <c r="L124" s="10"/>
      <c r="M124" s="14" t="str">
        <f aca="false">IF(B124="","",N(I124)-N(K124))</f>
        <v/>
      </c>
      <c r="N124" s="15" t="str">
        <f aca="true">IF(B124="","",IF(N(I124)=0,"Enter amount",IF(N(K124)&gt;=I124,"Paid",IF(H124="","Enter date",IF(TODAY()&gt;H124,"Overdue",IF(H124-TODAY()&lt;=Settings!$F$6,"Due Soon",IF(N(K124)&gt;0,"Partially Paid","Not Yet Due")))))))</f>
        <v/>
      </c>
      <c r="O124" s="16" t="str">
        <f aca="true">IF(OR(B124="",H124="",N124="Paid"),"",H124-TODAY())</f>
        <v/>
      </c>
      <c r="P124" s="17" t="str">
        <f aca="false">IF(AND(N124="Paid",L124&lt;&gt;"",E124&lt;&gt;""),L124-E124,"")</f>
        <v/>
      </c>
      <c r="Q124" s="8"/>
    </row>
    <row r="125" customFormat="false" ht="15" hidden="false" customHeight="false" outlineLevel="0" collapsed="false">
      <c r="A125" s="7"/>
      <c r="B125" s="8"/>
      <c r="C125" s="9"/>
      <c r="D125" s="9"/>
      <c r="E125" s="10"/>
      <c r="F125" s="7"/>
      <c r="G125" s="11" t="str">
        <f aca="false">IF(B125="","",IF(F125&lt;&gt;"",F125,IFERROR(INDEX(Settings!$B$5:$B$24,MATCH(D125,Settings!$A$5:$A$24,0)),Settings!$F$5)))</f>
        <v/>
      </c>
      <c r="H125" s="12" t="str">
        <f aca="false">IF(OR(B125="",E125=""),"",E125+G125)</f>
        <v/>
      </c>
      <c r="I125" s="13"/>
      <c r="J125" s="10"/>
      <c r="K125" s="13"/>
      <c r="L125" s="10"/>
      <c r="M125" s="14" t="str">
        <f aca="false">IF(B125="","",N(I125)-N(K125))</f>
        <v/>
      </c>
      <c r="N125" s="15" t="str">
        <f aca="true">IF(B125="","",IF(N(I125)=0,"Enter amount",IF(N(K125)&gt;=I125,"Paid",IF(H125="","Enter date",IF(TODAY()&gt;H125,"Overdue",IF(H125-TODAY()&lt;=Settings!$F$6,"Due Soon",IF(N(K125)&gt;0,"Partially Paid","Not Yet Due")))))))</f>
        <v/>
      </c>
      <c r="O125" s="16" t="str">
        <f aca="true">IF(OR(B125="",H125="",N125="Paid"),"",H125-TODAY())</f>
        <v/>
      </c>
      <c r="P125" s="17" t="str">
        <f aca="false">IF(AND(N125="Paid",L125&lt;&gt;"",E125&lt;&gt;""),L125-E125,"")</f>
        <v/>
      </c>
      <c r="Q125" s="8"/>
    </row>
    <row r="126" customFormat="false" ht="15" hidden="false" customHeight="false" outlineLevel="0" collapsed="false">
      <c r="A126" s="7"/>
      <c r="B126" s="8"/>
      <c r="C126" s="9"/>
      <c r="D126" s="9"/>
      <c r="E126" s="10"/>
      <c r="F126" s="7"/>
      <c r="G126" s="11" t="str">
        <f aca="false">IF(B126="","",IF(F126&lt;&gt;"",F126,IFERROR(INDEX(Settings!$B$5:$B$24,MATCH(D126,Settings!$A$5:$A$24,0)),Settings!$F$5)))</f>
        <v/>
      </c>
      <c r="H126" s="12" t="str">
        <f aca="false">IF(OR(B126="",E126=""),"",E126+G126)</f>
        <v/>
      </c>
      <c r="I126" s="13"/>
      <c r="J126" s="10"/>
      <c r="K126" s="13"/>
      <c r="L126" s="10"/>
      <c r="M126" s="14" t="str">
        <f aca="false">IF(B126="","",N(I126)-N(K126))</f>
        <v/>
      </c>
      <c r="N126" s="15" t="str">
        <f aca="true">IF(B126="","",IF(N(I126)=0,"Enter amount",IF(N(K126)&gt;=I126,"Paid",IF(H126="","Enter date",IF(TODAY()&gt;H126,"Overdue",IF(H126-TODAY()&lt;=Settings!$F$6,"Due Soon",IF(N(K126)&gt;0,"Partially Paid","Not Yet Due")))))))</f>
        <v/>
      </c>
      <c r="O126" s="16" t="str">
        <f aca="true">IF(OR(B126="",H126="",N126="Paid"),"",H126-TODAY())</f>
        <v/>
      </c>
      <c r="P126" s="17" t="str">
        <f aca="false">IF(AND(N126="Paid",L126&lt;&gt;"",E126&lt;&gt;""),L126-E126,"")</f>
        <v/>
      </c>
      <c r="Q126" s="8"/>
    </row>
    <row r="127" customFormat="false" ht="15" hidden="false" customHeight="false" outlineLevel="0" collapsed="false">
      <c r="A127" s="7"/>
      <c r="B127" s="8"/>
      <c r="C127" s="9"/>
      <c r="D127" s="9"/>
      <c r="E127" s="10"/>
      <c r="F127" s="7"/>
      <c r="G127" s="11" t="str">
        <f aca="false">IF(B127="","",IF(F127&lt;&gt;"",F127,IFERROR(INDEX(Settings!$B$5:$B$24,MATCH(D127,Settings!$A$5:$A$24,0)),Settings!$F$5)))</f>
        <v/>
      </c>
      <c r="H127" s="12" t="str">
        <f aca="false">IF(OR(B127="",E127=""),"",E127+G127)</f>
        <v/>
      </c>
      <c r="I127" s="13"/>
      <c r="J127" s="10"/>
      <c r="K127" s="13"/>
      <c r="L127" s="10"/>
      <c r="M127" s="14" t="str">
        <f aca="false">IF(B127="","",N(I127)-N(K127))</f>
        <v/>
      </c>
      <c r="N127" s="15" t="str">
        <f aca="true">IF(B127="","",IF(N(I127)=0,"Enter amount",IF(N(K127)&gt;=I127,"Paid",IF(H127="","Enter date",IF(TODAY()&gt;H127,"Overdue",IF(H127-TODAY()&lt;=Settings!$F$6,"Due Soon",IF(N(K127)&gt;0,"Partially Paid","Not Yet Due")))))))</f>
        <v/>
      </c>
      <c r="O127" s="16" t="str">
        <f aca="true">IF(OR(B127="",H127="",N127="Paid"),"",H127-TODAY())</f>
        <v/>
      </c>
      <c r="P127" s="17" t="str">
        <f aca="false">IF(AND(N127="Paid",L127&lt;&gt;"",E127&lt;&gt;""),L127-E127,"")</f>
        <v/>
      </c>
      <c r="Q127" s="8"/>
    </row>
    <row r="128" customFormat="false" ht="15" hidden="false" customHeight="false" outlineLevel="0" collapsed="false">
      <c r="A128" s="7"/>
      <c r="B128" s="8"/>
      <c r="C128" s="9"/>
      <c r="D128" s="9"/>
      <c r="E128" s="10"/>
      <c r="F128" s="7"/>
      <c r="G128" s="11" t="str">
        <f aca="false">IF(B128="","",IF(F128&lt;&gt;"",F128,IFERROR(INDEX(Settings!$B$5:$B$24,MATCH(D128,Settings!$A$5:$A$24,0)),Settings!$F$5)))</f>
        <v/>
      </c>
      <c r="H128" s="12" t="str">
        <f aca="false">IF(OR(B128="",E128=""),"",E128+G128)</f>
        <v/>
      </c>
      <c r="I128" s="13"/>
      <c r="J128" s="10"/>
      <c r="K128" s="13"/>
      <c r="L128" s="10"/>
      <c r="M128" s="14" t="str">
        <f aca="false">IF(B128="","",N(I128)-N(K128))</f>
        <v/>
      </c>
      <c r="N128" s="15" t="str">
        <f aca="true">IF(B128="","",IF(N(I128)=0,"Enter amount",IF(N(K128)&gt;=I128,"Paid",IF(H128="","Enter date",IF(TODAY()&gt;H128,"Overdue",IF(H128-TODAY()&lt;=Settings!$F$6,"Due Soon",IF(N(K128)&gt;0,"Partially Paid","Not Yet Due")))))))</f>
        <v/>
      </c>
      <c r="O128" s="16" t="str">
        <f aca="true">IF(OR(B128="",H128="",N128="Paid"),"",H128-TODAY())</f>
        <v/>
      </c>
      <c r="P128" s="17" t="str">
        <f aca="false">IF(AND(N128="Paid",L128&lt;&gt;"",E128&lt;&gt;""),L128-E128,"")</f>
        <v/>
      </c>
      <c r="Q128" s="8"/>
    </row>
    <row r="129" customFormat="false" ht="15" hidden="false" customHeight="false" outlineLevel="0" collapsed="false">
      <c r="A129" s="7"/>
      <c r="B129" s="8"/>
      <c r="C129" s="9"/>
      <c r="D129" s="9"/>
      <c r="E129" s="10"/>
      <c r="F129" s="7"/>
      <c r="G129" s="11" t="str">
        <f aca="false">IF(B129="","",IF(F129&lt;&gt;"",F129,IFERROR(INDEX(Settings!$B$5:$B$24,MATCH(D129,Settings!$A$5:$A$24,0)),Settings!$F$5)))</f>
        <v/>
      </c>
      <c r="H129" s="12" t="str">
        <f aca="false">IF(OR(B129="",E129=""),"",E129+G129)</f>
        <v/>
      </c>
      <c r="I129" s="13"/>
      <c r="J129" s="10"/>
      <c r="K129" s="13"/>
      <c r="L129" s="10"/>
      <c r="M129" s="14" t="str">
        <f aca="false">IF(B129="","",N(I129)-N(K129))</f>
        <v/>
      </c>
      <c r="N129" s="15" t="str">
        <f aca="true">IF(B129="","",IF(N(I129)=0,"Enter amount",IF(N(K129)&gt;=I129,"Paid",IF(H129="","Enter date",IF(TODAY()&gt;H129,"Overdue",IF(H129-TODAY()&lt;=Settings!$F$6,"Due Soon",IF(N(K129)&gt;0,"Partially Paid","Not Yet Due")))))))</f>
        <v/>
      </c>
      <c r="O129" s="16" t="str">
        <f aca="true">IF(OR(B129="",H129="",N129="Paid"),"",H129-TODAY())</f>
        <v/>
      </c>
      <c r="P129" s="17" t="str">
        <f aca="false">IF(AND(N129="Paid",L129&lt;&gt;"",E129&lt;&gt;""),L129-E129,"")</f>
        <v/>
      </c>
      <c r="Q129" s="8"/>
    </row>
    <row r="130" customFormat="false" ht="15" hidden="false" customHeight="false" outlineLevel="0" collapsed="false">
      <c r="A130" s="7"/>
      <c r="B130" s="8"/>
      <c r="C130" s="9"/>
      <c r="D130" s="9"/>
      <c r="E130" s="10"/>
      <c r="F130" s="7"/>
      <c r="G130" s="11" t="str">
        <f aca="false">IF(B130="","",IF(F130&lt;&gt;"",F130,IFERROR(INDEX(Settings!$B$5:$B$24,MATCH(D130,Settings!$A$5:$A$24,0)),Settings!$F$5)))</f>
        <v/>
      </c>
      <c r="H130" s="12" t="str">
        <f aca="false">IF(OR(B130="",E130=""),"",E130+G130)</f>
        <v/>
      </c>
      <c r="I130" s="13"/>
      <c r="J130" s="10"/>
      <c r="K130" s="13"/>
      <c r="L130" s="10"/>
      <c r="M130" s="14" t="str">
        <f aca="false">IF(B130="","",N(I130)-N(K130))</f>
        <v/>
      </c>
      <c r="N130" s="15" t="str">
        <f aca="true">IF(B130="","",IF(N(I130)=0,"Enter amount",IF(N(K130)&gt;=I130,"Paid",IF(H130="","Enter date",IF(TODAY()&gt;H130,"Overdue",IF(H130-TODAY()&lt;=Settings!$F$6,"Due Soon",IF(N(K130)&gt;0,"Partially Paid","Not Yet Due")))))))</f>
        <v/>
      </c>
      <c r="O130" s="16" t="str">
        <f aca="true">IF(OR(B130="",H130="",N130="Paid"),"",H130-TODAY())</f>
        <v/>
      </c>
      <c r="P130" s="17" t="str">
        <f aca="false">IF(AND(N130="Paid",L130&lt;&gt;"",E130&lt;&gt;""),L130-E130,"")</f>
        <v/>
      </c>
      <c r="Q130" s="8"/>
    </row>
    <row r="131" customFormat="false" ht="15" hidden="false" customHeight="false" outlineLevel="0" collapsed="false">
      <c r="A131" s="7"/>
      <c r="B131" s="8"/>
      <c r="C131" s="9"/>
      <c r="D131" s="9"/>
      <c r="E131" s="10"/>
      <c r="F131" s="7"/>
      <c r="G131" s="11" t="str">
        <f aca="false">IF(B131="","",IF(F131&lt;&gt;"",F131,IFERROR(INDEX(Settings!$B$5:$B$24,MATCH(D131,Settings!$A$5:$A$24,0)),Settings!$F$5)))</f>
        <v/>
      </c>
      <c r="H131" s="12" t="str">
        <f aca="false">IF(OR(B131="",E131=""),"",E131+G131)</f>
        <v/>
      </c>
      <c r="I131" s="13"/>
      <c r="J131" s="10"/>
      <c r="K131" s="13"/>
      <c r="L131" s="10"/>
      <c r="M131" s="14" t="str">
        <f aca="false">IF(B131="","",N(I131)-N(K131))</f>
        <v/>
      </c>
      <c r="N131" s="15" t="str">
        <f aca="true">IF(B131="","",IF(N(I131)=0,"Enter amount",IF(N(K131)&gt;=I131,"Paid",IF(H131="","Enter date",IF(TODAY()&gt;H131,"Overdue",IF(H131-TODAY()&lt;=Settings!$F$6,"Due Soon",IF(N(K131)&gt;0,"Partially Paid","Not Yet Due")))))))</f>
        <v/>
      </c>
      <c r="O131" s="16" t="str">
        <f aca="true">IF(OR(B131="",H131="",N131="Paid"),"",H131-TODAY())</f>
        <v/>
      </c>
      <c r="P131" s="17" t="str">
        <f aca="false">IF(AND(N131="Paid",L131&lt;&gt;"",E131&lt;&gt;""),L131-E131,"")</f>
        <v/>
      </c>
      <c r="Q131" s="8"/>
    </row>
    <row r="132" customFormat="false" ht="15" hidden="false" customHeight="false" outlineLevel="0" collapsed="false">
      <c r="A132" s="7"/>
      <c r="B132" s="8"/>
      <c r="C132" s="9"/>
      <c r="D132" s="9"/>
      <c r="E132" s="10"/>
      <c r="F132" s="7"/>
      <c r="G132" s="11" t="str">
        <f aca="false">IF(B132="","",IF(F132&lt;&gt;"",F132,IFERROR(INDEX(Settings!$B$5:$B$24,MATCH(D132,Settings!$A$5:$A$24,0)),Settings!$F$5)))</f>
        <v/>
      </c>
      <c r="H132" s="12" t="str">
        <f aca="false">IF(OR(B132="",E132=""),"",E132+G132)</f>
        <v/>
      </c>
      <c r="I132" s="13"/>
      <c r="J132" s="10"/>
      <c r="K132" s="13"/>
      <c r="L132" s="10"/>
      <c r="M132" s="14" t="str">
        <f aca="false">IF(B132="","",N(I132)-N(K132))</f>
        <v/>
      </c>
      <c r="N132" s="15" t="str">
        <f aca="true">IF(B132="","",IF(N(I132)=0,"Enter amount",IF(N(K132)&gt;=I132,"Paid",IF(H132="","Enter date",IF(TODAY()&gt;H132,"Overdue",IF(H132-TODAY()&lt;=Settings!$F$6,"Due Soon",IF(N(K132)&gt;0,"Partially Paid","Not Yet Due")))))))</f>
        <v/>
      </c>
      <c r="O132" s="16" t="str">
        <f aca="true">IF(OR(B132="",H132="",N132="Paid"),"",H132-TODAY())</f>
        <v/>
      </c>
      <c r="P132" s="17" t="str">
        <f aca="false">IF(AND(N132="Paid",L132&lt;&gt;"",E132&lt;&gt;""),L132-E132,"")</f>
        <v/>
      </c>
      <c r="Q132" s="8"/>
    </row>
    <row r="133" customFormat="false" ht="15" hidden="false" customHeight="false" outlineLevel="0" collapsed="false">
      <c r="A133" s="7"/>
      <c r="B133" s="8"/>
      <c r="C133" s="9"/>
      <c r="D133" s="9"/>
      <c r="E133" s="10"/>
      <c r="F133" s="7"/>
      <c r="G133" s="11" t="str">
        <f aca="false">IF(B133="","",IF(F133&lt;&gt;"",F133,IFERROR(INDEX(Settings!$B$5:$B$24,MATCH(D133,Settings!$A$5:$A$24,0)),Settings!$F$5)))</f>
        <v/>
      </c>
      <c r="H133" s="12" t="str">
        <f aca="false">IF(OR(B133="",E133=""),"",E133+G133)</f>
        <v/>
      </c>
      <c r="I133" s="13"/>
      <c r="J133" s="10"/>
      <c r="K133" s="13"/>
      <c r="L133" s="10"/>
      <c r="M133" s="14" t="str">
        <f aca="false">IF(B133="","",N(I133)-N(K133))</f>
        <v/>
      </c>
      <c r="N133" s="15" t="str">
        <f aca="true">IF(B133="","",IF(N(I133)=0,"Enter amount",IF(N(K133)&gt;=I133,"Paid",IF(H133="","Enter date",IF(TODAY()&gt;H133,"Overdue",IF(H133-TODAY()&lt;=Settings!$F$6,"Due Soon",IF(N(K133)&gt;0,"Partially Paid","Not Yet Due")))))))</f>
        <v/>
      </c>
      <c r="O133" s="16" t="str">
        <f aca="true">IF(OR(B133="",H133="",N133="Paid"),"",H133-TODAY())</f>
        <v/>
      </c>
      <c r="P133" s="17" t="str">
        <f aca="false">IF(AND(N133="Paid",L133&lt;&gt;"",E133&lt;&gt;""),L133-E133,"")</f>
        <v/>
      </c>
      <c r="Q133" s="8"/>
    </row>
    <row r="134" customFormat="false" ht="15" hidden="false" customHeight="false" outlineLevel="0" collapsed="false">
      <c r="A134" s="7"/>
      <c r="B134" s="8"/>
      <c r="C134" s="9"/>
      <c r="D134" s="9"/>
      <c r="E134" s="10"/>
      <c r="F134" s="7"/>
      <c r="G134" s="11" t="str">
        <f aca="false">IF(B134="","",IF(F134&lt;&gt;"",F134,IFERROR(INDEX(Settings!$B$5:$B$24,MATCH(D134,Settings!$A$5:$A$24,0)),Settings!$F$5)))</f>
        <v/>
      </c>
      <c r="H134" s="12" t="str">
        <f aca="false">IF(OR(B134="",E134=""),"",E134+G134)</f>
        <v/>
      </c>
      <c r="I134" s="13"/>
      <c r="J134" s="10"/>
      <c r="K134" s="13"/>
      <c r="L134" s="10"/>
      <c r="M134" s="14" t="str">
        <f aca="false">IF(B134="","",N(I134)-N(K134))</f>
        <v/>
      </c>
      <c r="N134" s="15" t="str">
        <f aca="true">IF(B134="","",IF(N(I134)=0,"Enter amount",IF(N(K134)&gt;=I134,"Paid",IF(H134="","Enter date",IF(TODAY()&gt;H134,"Overdue",IF(H134-TODAY()&lt;=Settings!$F$6,"Due Soon",IF(N(K134)&gt;0,"Partially Paid","Not Yet Due")))))))</f>
        <v/>
      </c>
      <c r="O134" s="16" t="str">
        <f aca="true">IF(OR(B134="",H134="",N134="Paid"),"",H134-TODAY())</f>
        <v/>
      </c>
      <c r="P134" s="17" t="str">
        <f aca="false">IF(AND(N134="Paid",L134&lt;&gt;"",E134&lt;&gt;""),L134-E134,"")</f>
        <v/>
      </c>
      <c r="Q134" s="8"/>
    </row>
    <row r="135" customFormat="false" ht="15" hidden="false" customHeight="false" outlineLevel="0" collapsed="false">
      <c r="A135" s="7"/>
      <c r="B135" s="8"/>
      <c r="C135" s="9"/>
      <c r="D135" s="9"/>
      <c r="E135" s="10"/>
      <c r="F135" s="7"/>
      <c r="G135" s="11" t="str">
        <f aca="false">IF(B135="","",IF(F135&lt;&gt;"",F135,IFERROR(INDEX(Settings!$B$5:$B$24,MATCH(D135,Settings!$A$5:$A$24,0)),Settings!$F$5)))</f>
        <v/>
      </c>
      <c r="H135" s="12" t="str">
        <f aca="false">IF(OR(B135="",E135=""),"",E135+G135)</f>
        <v/>
      </c>
      <c r="I135" s="13"/>
      <c r="J135" s="10"/>
      <c r="K135" s="13"/>
      <c r="L135" s="10"/>
      <c r="M135" s="14" t="str">
        <f aca="false">IF(B135="","",N(I135)-N(K135))</f>
        <v/>
      </c>
      <c r="N135" s="15" t="str">
        <f aca="true">IF(B135="","",IF(N(I135)=0,"Enter amount",IF(N(K135)&gt;=I135,"Paid",IF(H135="","Enter date",IF(TODAY()&gt;H135,"Overdue",IF(H135-TODAY()&lt;=Settings!$F$6,"Due Soon",IF(N(K135)&gt;0,"Partially Paid","Not Yet Due")))))))</f>
        <v/>
      </c>
      <c r="O135" s="16" t="str">
        <f aca="true">IF(OR(B135="",H135="",N135="Paid"),"",H135-TODAY())</f>
        <v/>
      </c>
      <c r="P135" s="17" t="str">
        <f aca="false">IF(AND(N135="Paid",L135&lt;&gt;"",E135&lt;&gt;""),L135-E135,"")</f>
        <v/>
      </c>
      <c r="Q135" s="8"/>
    </row>
    <row r="136" customFormat="false" ht="15" hidden="false" customHeight="false" outlineLevel="0" collapsed="false">
      <c r="A136" s="7"/>
      <c r="B136" s="8"/>
      <c r="C136" s="9"/>
      <c r="D136" s="9"/>
      <c r="E136" s="10"/>
      <c r="F136" s="7"/>
      <c r="G136" s="11" t="str">
        <f aca="false">IF(B136="","",IF(F136&lt;&gt;"",F136,IFERROR(INDEX(Settings!$B$5:$B$24,MATCH(D136,Settings!$A$5:$A$24,0)),Settings!$F$5)))</f>
        <v/>
      </c>
      <c r="H136" s="12" t="str">
        <f aca="false">IF(OR(B136="",E136=""),"",E136+G136)</f>
        <v/>
      </c>
      <c r="I136" s="13"/>
      <c r="J136" s="10"/>
      <c r="K136" s="13"/>
      <c r="L136" s="10"/>
      <c r="M136" s="14" t="str">
        <f aca="false">IF(B136="","",N(I136)-N(K136))</f>
        <v/>
      </c>
      <c r="N136" s="15" t="str">
        <f aca="true">IF(B136="","",IF(N(I136)=0,"Enter amount",IF(N(K136)&gt;=I136,"Paid",IF(H136="","Enter date",IF(TODAY()&gt;H136,"Overdue",IF(H136-TODAY()&lt;=Settings!$F$6,"Due Soon",IF(N(K136)&gt;0,"Partially Paid","Not Yet Due")))))))</f>
        <v/>
      </c>
      <c r="O136" s="16" t="str">
        <f aca="true">IF(OR(B136="",H136="",N136="Paid"),"",H136-TODAY())</f>
        <v/>
      </c>
      <c r="P136" s="17" t="str">
        <f aca="false">IF(AND(N136="Paid",L136&lt;&gt;"",E136&lt;&gt;""),L136-E136,"")</f>
        <v/>
      </c>
      <c r="Q136" s="8"/>
    </row>
    <row r="137" customFormat="false" ht="15" hidden="false" customHeight="false" outlineLevel="0" collapsed="false">
      <c r="A137" s="7"/>
      <c r="B137" s="8"/>
      <c r="C137" s="9"/>
      <c r="D137" s="9"/>
      <c r="E137" s="10"/>
      <c r="F137" s="7"/>
      <c r="G137" s="11" t="str">
        <f aca="false">IF(B137="","",IF(F137&lt;&gt;"",F137,IFERROR(INDEX(Settings!$B$5:$B$24,MATCH(D137,Settings!$A$5:$A$24,0)),Settings!$F$5)))</f>
        <v/>
      </c>
      <c r="H137" s="12" t="str">
        <f aca="false">IF(OR(B137="",E137=""),"",E137+G137)</f>
        <v/>
      </c>
      <c r="I137" s="13"/>
      <c r="J137" s="10"/>
      <c r="K137" s="13"/>
      <c r="L137" s="10"/>
      <c r="M137" s="14" t="str">
        <f aca="false">IF(B137="","",N(I137)-N(K137))</f>
        <v/>
      </c>
      <c r="N137" s="15" t="str">
        <f aca="true">IF(B137="","",IF(N(I137)=0,"Enter amount",IF(N(K137)&gt;=I137,"Paid",IF(H137="","Enter date",IF(TODAY()&gt;H137,"Overdue",IF(H137-TODAY()&lt;=Settings!$F$6,"Due Soon",IF(N(K137)&gt;0,"Partially Paid","Not Yet Due")))))))</f>
        <v/>
      </c>
      <c r="O137" s="16" t="str">
        <f aca="true">IF(OR(B137="",H137="",N137="Paid"),"",H137-TODAY())</f>
        <v/>
      </c>
      <c r="P137" s="17" t="str">
        <f aca="false">IF(AND(N137="Paid",L137&lt;&gt;"",E137&lt;&gt;""),L137-E137,"")</f>
        <v/>
      </c>
      <c r="Q137" s="8"/>
    </row>
    <row r="138" customFormat="false" ht="15" hidden="false" customHeight="false" outlineLevel="0" collapsed="false">
      <c r="A138" s="7"/>
      <c r="B138" s="8"/>
      <c r="C138" s="9"/>
      <c r="D138" s="9"/>
      <c r="E138" s="10"/>
      <c r="F138" s="7"/>
      <c r="G138" s="11" t="str">
        <f aca="false">IF(B138="","",IF(F138&lt;&gt;"",F138,IFERROR(INDEX(Settings!$B$5:$B$24,MATCH(D138,Settings!$A$5:$A$24,0)),Settings!$F$5)))</f>
        <v/>
      </c>
      <c r="H138" s="12" t="str">
        <f aca="false">IF(OR(B138="",E138=""),"",E138+G138)</f>
        <v/>
      </c>
      <c r="I138" s="13"/>
      <c r="J138" s="10"/>
      <c r="K138" s="13"/>
      <c r="L138" s="10"/>
      <c r="M138" s="14" t="str">
        <f aca="false">IF(B138="","",N(I138)-N(K138))</f>
        <v/>
      </c>
      <c r="N138" s="15" t="str">
        <f aca="true">IF(B138="","",IF(N(I138)=0,"Enter amount",IF(N(K138)&gt;=I138,"Paid",IF(H138="","Enter date",IF(TODAY()&gt;H138,"Overdue",IF(H138-TODAY()&lt;=Settings!$F$6,"Due Soon",IF(N(K138)&gt;0,"Partially Paid","Not Yet Due")))))))</f>
        <v/>
      </c>
      <c r="O138" s="16" t="str">
        <f aca="true">IF(OR(B138="",H138="",N138="Paid"),"",H138-TODAY())</f>
        <v/>
      </c>
      <c r="P138" s="17" t="str">
        <f aca="false">IF(AND(N138="Paid",L138&lt;&gt;"",E138&lt;&gt;""),L138-E138,"")</f>
        <v/>
      </c>
      <c r="Q138" s="8"/>
    </row>
    <row r="139" customFormat="false" ht="15" hidden="false" customHeight="false" outlineLevel="0" collapsed="false">
      <c r="A139" s="7"/>
      <c r="B139" s="8"/>
      <c r="C139" s="9"/>
      <c r="D139" s="9"/>
      <c r="E139" s="10"/>
      <c r="F139" s="7"/>
      <c r="G139" s="11" t="str">
        <f aca="false">IF(B139="","",IF(F139&lt;&gt;"",F139,IFERROR(INDEX(Settings!$B$5:$B$24,MATCH(D139,Settings!$A$5:$A$24,0)),Settings!$F$5)))</f>
        <v/>
      </c>
      <c r="H139" s="12" t="str">
        <f aca="false">IF(OR(B139="",E139=""),"",E139+G139)</f>
        <v/>
      </c>
      <c r="I139" s="13"/>
      <c r="J139" s="10"/>
      <c r="K139" s="13"/>
      <c r="L139" s="10"/>
      <c r="M139" s="14" t="str">
        <f aca="false">IF(B139="","",N(I139)-N(K139))</f>
        <v/>
      </c>
      <c r="N139" s="15" t="str">
        <f aca="true">IF(B139="","",IF(N(I139)=0,"Enter amount",IF(N(K139)&gt;=I139,"Paid",IF(H139="","Enter date",IF(TODAY()&gt;H139,"Overdue",IF(H139-TODAY()&lt;=Settings!$F$6,"Due Soon",IF(N(K139)&gt;0,"Partially Paid","Not Yet Due")))))))</f>
        <v/>
      </c>
      <c r="O139" s="16" t="str">
        <f aca="true">IF(OR(B139="",H139="",N139="Paid"),"",H139-TODAY())</f>
        <v/>
      </c>
      <c r="P139" s="17" t="str">
        <f aca="false">IF(AND(N139="Paid",L139&lt;&gt;"",E139&lt;&gt;""),L139-E139,"")</f>
        <v/>
      </c>
      <c r="Q139" s="8"/>
    </row>
    <row r="140" customFormat="false" ht="15" hidden="false" customHeight="false" outlineLevel="0" collapsed="false">
      <c r="A140" s="7"/>
      <c r="B140" s="8"/>
      <c r="C140" s="9"/>
      <c r="D140" s="9"/>
      <c r="E140" s="10"/>
      <c r="F140" s="7"/>
      <c r="G140" s="11" t="str">
        <f aca="false">IF(B140="","",IF(F140&lt;&gt;"",F140,IFERROR(INDEX(Settings!$B$5:$B$24,MATCH(D140,Settings!$A$5:$A$24,0)),Settings!$F$5)))</f>
        <v/>
      </c>
      <c r="H140" s="12" t="str">
        <f aca="false">IF(OR(B140="",E140=""),"",E140+G140)</f>
        <v/>
      </c>
      <c r="I140" s="13"/>
      <c r="J140" s="10"/>
      <c r="K140" s="13"/>
      <c r="L140" s="10"/>
      <c r="M140" s="14" t="str">
        <f aca="false">IF(B140="","",N(I140)-N(K140))</f>
        <v/>
      </c>
      <c r="N140" s="15" t="str">
        <f aca="true">IF(B140="","",IF(N(I140)=0,"Enter amount",IF(N(K140)&gt;=I140,"Paid",IF(H140="","Enter date",IF(TODAY()&gt;H140,"Overdue",IF(H140-TODAY()&lt;=Settings!$F$6,"Due Soon",IF(N(K140)&gt;0,"Partially Paid","Not Yet Due")))))))</f>
        <v/>
      </c>
      <c r="O140" s="16" t="str">
        <f aca="true">IF(OR(B140="",H140="",N140="Paid"),"",H140-TODAY())</f>
        <v/>
      </c>
      <c r="P140" s="17" t="str">
        <f aca="false">IF(AND(N140="Paid",L140&lt;&gt;"",E140&lt;&gt;""),L140-E140,"")</f>
        <v/>
      </c>
      <c r="Q140" s="8"/>
    </row>
    <row r="141" customFormat="false" ht="15" hidden="false" customHeight="false" outlineLevel="0" collapsed="false">
      <c r="A141" s="7"/>
      <c r="B141" s="8"/>
      <c r="C141" s="9"/>
      <c r="D141" s="9"/>
      <c r="E141" s="10"/>
      <c r="F141" s="7"/>
      <c r="G141" s="11" t="str">
        <f aca="false">IF(B141="","",IF(F141&lt;&gt;"",F141,IFERROR(INDEX(Settings!$B$5:$B$24,MATCH(D141,Settings!$A$5:$A$24,0)),Settings!$F$5)))</f>
        <v/>
      </c>
      <c r="H141" s="12" t="str">
        <f aca="false">IF(OR(B141="",E141=""),"",E141+G141)</f>
        <v/>
      </c>
      <c r="I141" s="13"/>
      <c r="J141" s="10"/>
      <c r="K141" s="13"/>
      <c r="L141" s="10"/>
      <c r="M141" s="14" t="str">
        <f aca="false">IF(B141="","",N(I141)-N(K141))</f>
        <v/>
      </c>
      <c r="N141" s="15" t="str">
        <f aca="true">IF(B141="","",IF(N(I141)=0,"Enter amount",IF(N(K141)&gt;=I141,"Paid",IF(H141="","Enter date",IF(TODAY()&gt;H141,"Overdue",IF(H141-TODAY()&lt;=Settings!$F$6,"Due Soon",IF(N(K141)&gt;0,"Partially Paid","Not Yet Due")))))))</f>
        <v/>
      </c>
      <c r="O141" s="16" t="str">
        <f aca="true">IF(OR(B141="",H141="",N141="Paid"),"",H141-TODAY())</f>
        <v/>
      </c>
      <c r="P141" s="17" t="str">
        <f aca="false">IF(AND(N141="Paid",L141&lt;&gt;"",E141&lt;&gt;""),L141-E141,"")</f>
        <v/>
      </c>
      <c r="Q141" s="8"/>
    </row>
    <row r="142" customFormat="false" ht="15" hidden="false" customHeight="false" outlineLevel="0" collapsed="false">
      <c r="A142" s="7"/>
      <c r="B142" s="8"/>
      <c r="C142" s="9"/>
      <c r="D142" s="9"/>
      <c r="E142" s="10"/>
      <c r="F142" s="7"/>
      <c r="G142" s="11" t="str">
        <f aca="false">IF(B142="","",IF(F142&lt;&gt;"",F142,IFERROR(INDEX(Settings!$B$5:$B$24,MATCH(D142,Settings!$A$5:$A$24,0)),Settings!$F$5)))</f>
        <v/>
      </c>
      <c r="H142" s="12" t="str">
        <f aca="false">IF(OR(B142="",E142=""),"",E142+G142)</f>
        <v/>
      </c>
      <c r="I142" s="13"/>
      <c r="J142" s="10"/>
      <c r="K142" s="13"/>
      <c r="L142" s="10"/>
      <c r="M142" s="14" t="str">
        <f aca="false">IF(B142="","",N(I142)-N(K142))</f>
        <v/>
      </c>
      <c r="N142" s="15" t="str">
        <f aca="true">IF(B142="","",IF(N(I142)=0,"Enter amount",IF(N(K142)&gt;=I142,"Paid",IF(H142="","Enter date",IF(TODAY()&gt;H142,"Overdue",IF(H142-TODAY()&lt;=Settings!$F$6,"Due Soon",IF(N(K142)&gt;0,"Partially Paid","Not Yet Due")))))))</f>
        <v/>
      </c>
      <c r="O142" s="16" t="str">
        <f aca="true">IF(OR(B142="",H142="",N142="Paid"),"",H142-TODAY())</f>
        <v/>
      </c>
      <c r="P142" s="17" t="str">
        <f aca="false">IF(AND(N142="Paid",L142&lt;&gt;"",E142&lt;&gt;""),L142-E142,"")</f>
        <v/>
      </c>
      <c r="Q142" s="8"/>
    </row>
    <row r="143" customFormat="false" ht="15" hidden="false" customHeight="false" outlineLevel="0" collapsed="false">
      <c r="A143" s="7"/>
      <c r="B143" s="8"/>
      <c r="C143" s="9"/>
      <c r="D143" s="9"/>
      <c r="E143" s="10"/>
      <c r="F143" s="7"/>
      <c r="G143" s="11" t="str">
        <f aca="false">IF(B143="","",IF(F143&lt;&gt;"",F143,IFERROR(INDEX(Settings!$B$5:$B$24,MATCH(D143,Settings!$A$5:$A$24,0)),Settings!$F$5)))</f>
        <v/>
      </c>
      <c r="H143" s="12" t="str">
        <f aca="false">IF(OR(B143="",E143=""),"",E143+G143)</f>
        <v/>
      </c>
      <c r="I143" s="13"/>
      <c r="J143" s="10"/>
      <c r="K143" s="13"/>
      <c r="L143" s="10"/>
      <c r="M143" s="14" t="str">
        <f aca="false">IF(B143="","",N(I143)-N(K143))</f>
        <v/>
      </c>
      <c r="N143" s="15" t="str">
        <f aca="true">IF(B143="","",IF(N(I143)=0,"Enter amount",IF(N(K143)&gt;=I143,"Paid",IF(H143="","Enter date",IF(TODAY()&gt;H143,"Overdue",IF(H143-TODAY()&lt;=Settings!$F$6,"Due Soon",IF(N(K143)&gt;0,"Partially Paid","Not Yet Due")))))))</f>
        <v/>
      </c>
      <c r="O143" s="16" t="str">
        <f aca="true">IF(OR(B143="",H143="",N143="Paid"),"",H143-TODAY())</f>
        <v/>
      </c>
      <c r="P143" s="17" t="str">
        <f aca="false">IF(AND(N143="Paid",L143&lt;&gt;"",E143&lt;&gt;""),L143-E143,"")</f>
        <v/>
      </c>
      <c r="Q143" s="8"/>
    </row>
    <row r="144" customFormat="false" ht="15" hidden="false" customHeight="false" outlineLevel="0" collapsed="false">
      <c r="A144" s="7"/>
      <c r="B144" s="8"/>
      <c r="C144" s="9"/>
      <c r="D144" s="9"/>
      <c r="E144" s="10"/>
      <c r="F144" s="7"/>
      <c r="G144" s="11" t="str">
        <f aca="false">IF(B144="","",IF(F144&lt;&gt;"",F144,IFERROR(INDEX(Settings!$B$5:$B$24,MATCH(D144,Settings!$A$5:$A$24,0)),Settings!$F$5)))</f>
        <v/>
      </c>
      <c r="H144" s="12" t="str">
        <f aca="false">IF(OR(B144="",E144=""),"",E144+G144)</f>
        <v/>
      </c>
      <c r="I144" s="13"/>
      <c r="J144" s="10"/>
      <c r="K144" s="13"/>
      <c r="L144" s="10"/>
      <c r="M144" s="14" t="str">
        <f aca="false">IF(B144="","",N(I144)-N(K144))</f>
        <v/>
      </c>
      <c r="N144" s="15" t="str">
        <f aca="true">IF(B144="","",IF(N(I144)=0,"Enter amount",IF(N(K144)&gt;=I144,"Paid",IF(H144="","Enter date",IF(TODAY()&gt;H144,"Overdue",IF(H144-TODAY()&lt;=Settings!$F$6,"Due Soon",IF(N(K144)&gt;0,"Partially Paid","Not Yet Due")))))))</f>
        <v/>
      </c>
      <c r="O144" s="16" t="str">
        <f aca="true">IF(OR(B144="",H144="",N144="Paid"),"",H144-TODAY())</f>
        <v/>
      </c>
      <c r="P144" s="17" t="str">
        <f aca="false">IF(AND(N144="Paid",L144&lt;&gt;"",E144&lt;&gt;""),L144-E144,"")</f>
        <v/>
      </c>
      <c r="Q144" s="8"/>
    </row>
    <row r="145" customFormat="false" ht="15" hidden="false" customHeight="false" outlineLevel="0" collapsed="false">
      <c r="A145" s="7"/>
      <c r="B145" s="8"/>
      <c r="C145" s="9"/>
      <c r="D145" s="9"/>
      <c r="E145" s="10"/>
      <c r="F145" s="7"/>
      <c r="G145" s="11" t="str">
        <f aca="false">IF(B145="","",IF(F145&lt;&gt;"",F145,IFERROR(INDEX(Settings!$B$5:$B$24,MATCH(D145,Settings!$A$5:$A$24,0)),Settings!$F$5)))</f>
        <v/>
      </c>
      <c r="H145" s="12" t="str">
        <f aca="false">IF(OR(B145="",E145=""),"",E145+G145)</f>
        <v/>
      </c>
      <c r="I145" s="13"/>
      <c r="J145" s="10"/>
      <c r="K145" s="13"/>
      <c r="L145" s="10"/>
      <c r="M145" s="14" t="str">
        <f aca="false">IF(B145="","",N(I145)-N(K145))</f>
        <v/>
      </c>
      <c r="N145" s="15" t="str">
        <f aca="true">IF(B145="","",IF(N(I145)=0,"Enter amount",IF(N(K145)&gt;=I145,"Paid",IF(H145="","Enter date",IF(TODAY()&gt;H145,"Overdue",IF(H145-TODAY()&lt;=Settings!$F$6,"Due Soon",IF(N(K145)&gt;0,"Partially Paid","Not Yet Due")))))))</f>
        <v/>
      </c>
      <c r="O145" s="16" t="str">
        <f aca="true">IF(OR(B145="",H145="",N145="Paid"),"",H145-TODAY())</f>
        <v/>
      </c>
      <c r="P145" s="17" t="str">
        <f aca="false">IF(AND(N145="Paid",L145&lt;&gt;"",E145&lt;&gt;""),L145-E145,"")</f>
        <v/>
      </c>
      <c r="Q145" s="8"/>
    </row>
    <row r="146" customFormat="false" ht="15" hidden="false" customHeight="false" outlineLevel="0" collapsed="false">
      <c r="A146" s="7"/>
      <c r="B146" s="8"/>
      <c r="C146" s="9"/>
      <c r="D146" s="9"/>
      <c r="E146" s="10"/>
      <c r="F146" s="7"/>
      <c r="G146" s="11" t="str">
        <f aca="false">IF(B146="","",IF(F146&lt;&gt;"",F146,IFERROR(INDEX(Settings!$B$5:$B$24,MATCH(D146,Settings!$A$5:$A$24,0)),Settings!$F$5)))</f>
        <v/>
      </c>
      <c r="H146" s="12" t="str">
        <f aca="false">IF(OR(B146="",E146=""),"",E146+G146)</f>
        <v/>
      </c>
      <c r="I146" s="13"/>
      <c r="J146" s="10"/>
      <c r="K146" s="13"/>
      <c r="L146" s="10"/>
      <c r="M146" s="14" t="str">
        <f aca="false">IF(B146="","",N(I146)-N(K146))</f>
        <v/>
      </c>
      <c r="N146" s="15" t="str">
        <f aca="true">IF(B146="","",IF(N(I146)=0,"Enter amount",IF(N(K146)&gt;=I146,"Paid",IF(H146="","Enter date",IF(TODAY()&gt;H146,"Overdue",IF(H146-TODAY()&lt;=Settings!$F$6,"Due Soon",IF(N(K146)&gt;0,"Partially Paid","Not Yet Due")))))))</f>
        <v/>
      </c>
      <c r="O146" s="16" t="str">
        <f aca="true">IF(OR(B146="",H146="",N146="Paid"),"",H146-TODAY())</f>
        <v/>
      </c>
      <c r="P146" s="17" t="str">
        <f aca="false">IF(AND(N146="Paid",L146&lt;&gt;"",E146&lt;&gt;""),L146-E146,"")</f>
        <v/>
      </c>
      <c r="Q146" s="8"/>
    </row>
    <row r="147" customFormat="false" ht="15" hidden="false" customHeight="false" outlineLevel="0" collapsed="false">
      <c r="A147" s="7"/>
      <c r="B147" s="8"/>
      <c r="C147" s="9"/>
      <c r="D147" s="9"/>
      <c r="E147" s="10"/>
      <c r="F147" s="7"/>
      <c r="G147" s="11" t="str">
        <f aca="false">IF(B147="","",IF(F147&lt;&gt;"",F147,IFERROR(INDEX(Settings!$B$5:$B$24,MATCH(D147,Settings!$A$5:$A$24,0)),Settings!$F$5)))</f>
        <v/>
      </c>
      <c r="H147" s="12" t="str">
        <f aca="false">IF(OR(B147="",E147=""),"",E147+G147)</f>
        <v/>
      </c>
      <c r="I147" s="13"/>
      <c r="J147" s="10"/>
      <c r="K147" s="13"/>
      <c r="L147" s="10"/>
      <c r="M147" s="14" t="str">
        <f aca="false">IF(B147="","",N(I147)-N(K147))</f>
        <v/>
      </c>
      <c r="N147" s="15" t="str">
        <f aca="true">IF(B147="","",IF(N(I147)=0,"Enter amount",IF(N(K147)&gt;=I147,"Paid",IF(H147="","Enter date",IF(TODAY()&gt;H147,"Overdue",IF(H147-TODAY()&lt;=Settings!$F$6,"Due Soon",IF(N(K147)&gt;0,"Partially Paid","Not Yet Due")))))))</f>
        <v/>
      </c>
      <c r="O147" s="16" t="str">
        <f aca="true">IF(OR(B147="",H147="",N147="Paid"),"",H147-TODAY())</f>
        <v/>
      </c>
      <c r="P147" s="17" t="str">
        <f aca="false">IF(AND(N147="Paid",L147&lt;&gt;"",E147&lt;&gt;""),L147-E147,"")</f>
        <v/>
      </c>
      <c r="Q147" s="8"/>
    </row>
    <row r="148" customFormat="false" ht="15" hidden="false" customHeight="false" outlineLevel="0" collapsed="false">
      <c r="A148" s="7"/>
      <c r="B148" s="8"/>
      <c r="C148" s="9"/>
      <c r="D148" s="9"/>
      <c r="E148" s="10"/>
      <c r="F148" s="7"/>
      <c r="G148" s="11" t="str">
        <f aca="false">IF(B148="","",IF(F148&lt;&gt;"",F148,IFERROR(INDEX(Settings!$B$5:$B$24,MATCH(D148,Settings!$A$5:$A$24,0)),Settings!$F$5)))</f>
        <v/>
      </c>
      <c r="H148" s="12" t="str">
        <f aca="false">IF(OR(B148="",E148=""),"",E148+G148)</f>
        <v/>
      </c>
      <c r="I148" s="13"/>
      <c r="J148" s="10"/>
      <c r="K148" s="13"/>
      <c r="L148" s="10"/>
      <c r="M148" s="14" t="str">
        <f aca="false">IF(B148="","",N(I148)-N(K148))</f>
        <v/>
      </c>
      <c r="N148" s="15" t="str">
        <f aca="true">IF(B148="","",IF(N(I148)=0,"Enter amount",IF(N(K148)&gt;=I148,"Paid",IF(H148="","Enter date",IF(TODAY()&gt;H148,"Overdue",IF(H148-TODAY()&lt;=Settings!$F$6,"Due Soon",IF(N(K148)&gt;0,"Partially Paid","Not Yet Due")))))))</f>
        <v/>
      </c>
      <c r="O148" s="16" t="str">
        <f aca="true">IF(OR(B148="",H148="",N148="Paid"),"",H148-TODAY())</f>
        <v/>
      </c>
      <c r="P148" s="17" t="str">
        <f aca="false">IF(AND(N148="Paid",L148&lt;&gt;"",E148&lt;&gt;""),L148-E148,"")</f>
        <v/>
      </c>
      <c r="Q148" s="8"/>
    </row>
    <row r="149" customFormat="false" ht="15" hidden="false" customHeight="false" outlineLevel="0" collapsed="false">
      <c r="A149" s="7"/>
      <c r="B149" s="8"/>
      <c r="C149" s="9"/>
      <c r="D149" s="9"/>
      <c r="E149" s="10"/>
      <c r="F149" s="7"/>
      <c r="G149" s="11" t="str">
        <f aca="false">IF(B149="","",IF(F149&lt;&gt;"",F149,IFERROR(INDEX(Settings!$B$5:$B$24,MATCH(D149,Settings!$A$5:$A$24,0)),Settings!$F$5)))</f>
        <v/>
      </c>
      <c r="H149" s="12" t="str">
        <f aca="false">IF(OR(B149="",E149=""),"",E149+G149)</f>
        <v/>
      </c>
      <c r="I149" s="13"/>
      <c r="J149" s="10"/>
      <c r="K149" s="13"/>
      <c r="L149" s="10"/>
      <c r="M149" s="14" t="str">
        <f aca="false">IF(B149="","",N(I149)-N(K149))</f>
        <v/>
      </c>
      <c r="N149" s="15" t="str">
        <f aca="true">IF(B149="","",IF(N(I149)=0,"Enter amount",IF(N(K149)&gt;=I149,"Paid",IF(H149="","Enter date",IF(TODAY()&gt;H149,"Overdue",IF(H149-TODAY()&lt;=Settings!$F$6,"Due Soon",IF(N(K149)&gt;0,"Partially Paid","Not Yet Due")))))))</f>
        <v/>
      </c>
      <c r="O149" s="16" t="str">
        <f aca="true">IF(OR(B149="",H149="",N149="Paid"),"",H149-TODAY())</f>
        <v/>
      </c>
      <c r="P149" s="17" t="str">
        <f aca="false">IF(AND(N149="Paid",L149&lt;&gt;"",E149&lt;&gt;""),L149-E149,"")</f>
        <v/>
      </c>
      <c r="Q149" s="8"/>
    </row>
    <row r="150" customFormat="false" ht="15" hidden="false" customHeight="false" outlineLevel="0" collapsed="false">
      <c r="A150" s="7"/>
      <c r="B150" s="8"/>
      <c r="C150" s="9"/>
      <c r="D150" s="9"/>
      <c r="E150" s="10"/>
      <c r="F150" s="7"/>
      <c r="G150" s="11" t="str">
        <f aca="false">IF(B150="","",IF(F150&lt;&gt;"",F150,IFERROR(INDEX(Settings!$B$5:$B$24,MATCH(D150,Settings!$A$5:$A$24,0)),Settings!$F$5)))</f>
        <v/>
      </c>
      <c r="H150" s="12" t="str">
        <f aca="false">IF(OR(B150="",E150=""),"",E150+G150)</f>
        <v/>
      </c>
      <c r="I150" s="13"/>
      <c r="J150" s="10"/>
      <c r="K150" s="13"/>
      <c r="L150" s="10"/>
      <c r="M150" s="14" t="str">
        <f aca="false">IF(B150="","",N(I150)-N(K150))</f>
        <v/>
      </c>
      <c r="N150" s="15" t="str">
        <f aca="true">IF(B150="","",IF(N(I150)=0,"Enter amount",IF(N(K150)&gt;=I150,"Paid",IF(H150="","Enter date",IF(TODAY()&gt;H150,"Overdue",IF(H150-TODAY()&lt;=Settings!$F$6,"Due Soon",IF(N(K150)&gt;0,"Partially Paid","Not Yet Due")))))))</f>
        <v/>
      </c>
      <c r="O150" s="16" t="str">
        <f aca="true">IF(OR(B150="",H150="",N150="Paid"),"",H150-TODAY())</f>
        <v/>
      </c>
      <c r="P150" s="17" t="str">
        <f aca="false">IF(AND(N150="Paid",L150&lt;&gt;"",E150&lt;&gt;""),L150-E150,"")</f>
        <v/>
      </c>
      <c r="Q150" s="8"/>
    </row>
    <row r="151" customFormat="false" ht="15" hidden="false" customHeight="false" outlineLevel="0" collapsed="false">
      <c r="A151" s="7"/>
      <c r="B151" s="8"/>
      <c r="C151" s="9"/>
      <c r="D151" s="9"/>
      <c r="E151" s="10"/>
      <c r="F151" s="7"/>
      <c r="G151" s="11" t="str">
        <f aca="false">IF(B151="","",IF(F151&lt;&gt;"",F151,IFERROR(INDEX(Settings!$B$5:$B$24,MATCH(D151,Settings!$A$5:$A$24,0)),Settings!$F$5)))</f>
        <v/>
      </c>
      <c r="H151" s="12" t="str">
        <f aca="false">IF(OR(B151="",E151=""),"",E151+G151)</f>
        <v/>
      </c>
      <c r="I151" s="13"/>
      <c r="J151" s="10"/>
      <c r="K151" s="13"/>
      <c r="L151" s="10"/>
      <c r="M151" s="14" t="str">
        <f aca="false">IF(B151="","",N(I151)-N(K151))</f>
        <v/>
      </c>
      <c r="N151" s="15" t="str">
        <f aca="true">IF(B151="","",IF(N(I151)=0,"Enter amount",IF(N(K151)&gt;=I151,"Paid",IF(H151="","Enter date",IF(TODAY()&gt;H151,"Overdue",IF(H151-TODAY()&lt;=Settings!$F$6,"Due Soon",IF(N(K151)&gt;0,"Partially Paid","Not Yet Due")))))))</f>
        <v/>
      </c>
      <c r="O151" s="16" t="str">
        <f aca="true">IF(OR(B151="",H151="",N151="Paid"),"",H151-TODAY())</f>
        <v/>
      </c>
      <c r="P151" s="17" t="str">
        <f aca="false">IF(AND(N151="Paid",L151&lt;&gt;"",E151&lt;&gt;""),L151-E151,"")</f>
        <v/>
      </c>
      <c r="Q151" s="8"/>
    </row>
    <row r="152" customFormat="false" ht="15" hidden="false" customHeight="false" outlineLevel="0" collapsed="false">
      <c r="A152" s="7"/>
      <c r="B152" s="8"/>
      <c r="C152" s="9"/>
      <c r="D152" s="9"/>
      <c r="E152" s="10"/>
      <c r="F152" s="7"/>
      <c r="G152" s="11" t="str">
        <f aca="false">IF(B152="","",IF(F152&lt;&gt;"",F152,IFERROR(INDEX(Settings!$B$5:$B$24,MATCH(D152,Settings!$A$5:$A$24,0)),Settings!$F$5)))</f>
        <v/>
      </c>
      <c r="H152" s="12" t="str">
        <f aca="false">IF(OR(B152="",E152=""),"",E152+G152)</f>
        <v/>
      </c>
      <c r="I152" s="13"/>
      <c r="J152" s="10"/>
      <c r="K152" s="13"/>
      <c r="L152" s="10"/>
      <c r="M152" s="14" t="str">
        <f aca="false">IF(B152="","",N(I152)-N(K152))</f>
        <v/>
      </c>
      <c r="N152" s="15" t="str">
        <f aca="true">IF(B152="","",IF(N(I152)=0,"Enter amount",IF(N(K152)&gt;=I152,"Paid",IF(H152="","Enter date",IF(TODAY()&gt;H152,"Overdue",IF(H152-TODAY()&lt;=Settings!$F$6,"Due Soon",IF(N(K152)&gt;0,"Partially Paid","Not Yet Due")))))))</f>
        <v/>
      </c>
      <c r="O152" s="16" t="str">
        <f aca="true">IF(OR(B152="",H152="",N152="Paid"),"",H152-TODAY())</f>
        <v/>
      </c>
      <c r="P152" s="17" t="str">
        <f aca="false">IF(AND(N152="Paid",L152&lt;&gt;"",E152&lt;&gt;""),L152-E152,"")</f>
        <v/>
      </c>
      <c r="Q152" s="8"/>
    </row>
    <row r="153" customFormat="false" ht="15" hidden="false" customHeight="false" outlineLevel="0" collapsed="false">
      <c r="A153" s="7"/>
      <c r="B153" s="8"/>
      <c r="C153" s="9"/>
      <c r="D153" s="9"/>
      <c r="E153" s="10"/>
      <c r="F153" s="7"/>
      <c r="G153" s="11" t="str">
        <f aca="false">IF(B153="","",IF(F153&lt;&gt;"",F153,IFERROR(INDEX(Settings!$B$5:$B$24,MATCH(D153,Settings!$A$5:$A$24,0)),Settings!$F$5)))</f>
        <v/>
      </c>
      <c r="H153" s="12" t="str">
        <f aca="false">IF(OR(B153="",E153=""),"",E153+G153)</f>
        <v/>
      </c>
      <c r="I153" s="13"/>
      <c r="J153" s="10"/>
      <c r="K153" s="13"/>
      <c r="L153" s="10"/>
      <c r="M153" s="14" t="str">
        <f aca="false">IF(B153="","",N(I153)-N(K153))</f>
        <v/>
      </c>
      <c r="N153" s="15" t="str">
        <f aca="true">IF(B153="","",IF(N(I153)=0,"Enter amount",IF(N(K153)&gt;=I153,"Paid",IF(H153="","Enter date",IF(TODAY()&gt;H153,"Overdue",IF(H153-TODAY()&lt;=Settings!$F$6,"Due Soon",IF(N(K153)&gt;0,"Partially Paid","Not Yet Due")))))))</f>
        <v/>
      </c>
      <c r="O153" s="16" t="str">
        <f aca="true">IF(OR(B153="",H153="",N153="Paid"),"",H153-TODAY())</f>
        <v/>
      </c>
      <c r="P153" s="17" t="str">
        <f aca="false">IF(AND(N153="Paid",L153&lt;&gt;"",E153&lt;&gt;""),L153-E153,"")</f>
        <v/>
      </c>
      <c r="Q153" s="8"/>
    </row>
    <row r="154" customFormat="false" ht="15" hidden="false" customHeight="false" outlineLevel="0" collapsed="false">
      <c r="A154" s="7"/>
      <c r="B154" s="8"/>
      <c r="C154" s="9"/>
      <c r="D154" s="9"/>
      <c r="E154" s="10"/>
      <c r="F154" s="7"/>
      <c r="G154" s="11" t="str">
        <f aca="false">IF(B154="","",IF(F154&lt;&gt;"",F154,IFERROR(INDEX(Settings!$B$5:$B$24,MATCH(D154,Settings!$A$5:$A$24,0)),Settings!$F$5)))</f>
        <v/>
      </c>
      <c r="H154" s="12" t="str">
        <f aca="false">IF(OR(B154="",E154=""),"",E154+G154)</f>
        <v/>
      </c>
      <c r="I154" s="13"/>
      <c r="J154" s="10"/>
      <c r="K154" s="13"/>
      <c r="L154" s="10"/>
      <c r="M154" s="14" t="str">
        <f aca="false">IF(B154="","",N(I154)-N(K154))</f>
        <v/>
      </c>
      <c r="N154" s="15" t="str">
        <f aca="true">IF(B154="","",IF(N(I154)=0,"Enter amount",IF(N(K154)&gt;=I154,"Paid",IF(H154="","Enter date",IF(TODAY()&gt;H154,"Overdue",IF(H154-TODAY()&lt;=Settings!$F$6,"Due Soon",IF(N(K154)&gt;0,"Partially Paid","Not Yet Due")))))))</f>
        <v/>
      </c>
      <c r="O154" s="16" t="str">
        <f aca="true">IF(OR(B154="",H154="",N154="Paid"),"",H154-TODAY())</f>
        <v/>
      </c>
      <c r="P154" s="17" t="str">
        <f aca="false">IF(AND(N154="Paid",L154&lt;&gt;"",E154&lt;&gt;""),L154-E154,"")</f>
        <v/>
      </c>
      <c r="Q154" s="8"/>
    </row>
    <row r="155" customFormat="false" ht="15" hidden="false" customHeight="false" outlineLevel="0" collapsed="false">
      <c r="A155" s="7"/>
      <c r="B155" s="8"/>
      <c r="C155" s="9"/>
      <c r="D155" s="9"/>
      <c r="E155" s="10"/>
      <c r="F155" s="7"/>
      <c r="G155" s="11" t="str">
        <f aca="false">IF(B155="","",IF(F155&lt;&gt;"",F155,IFERROR(INDEX(Settings!$B$5:$B$24,MATCH(D155,Settings!$A$5:$A$24,0)),Settings!$F$5)))</f>
        <v/>
      </c>
      <c r="H155" s="12" t="str">
        <f aca="false">IF(OR(B155="",E155=""),"",E155+G155)</f>
        <v/>
      </c>
      <c r="I155" s="13"/>
      <c r="J155" s="10"/>
      <c r="K155" s="13"/>
      <c r="L155" s="10"/>
      <c r="M155" s="14" t="str">
        <f aca="false">IF(B155="","",N(I155)-N(K155))</f>
        <v/>
      </c>
      <c r="N155" s="15" t="str">
        <f aca="true">IF(B155="","",IF(N(I155)=0,"Enter amount",IF(N(K155)&gt;=I155,"Paid",IF(H155="","Enter date",IF(TODAY()&gt;H155,"Overdue",IF(H155-TODAY()&lt;=Settings!$F$6,"Due Soon",IF(N(K155)&gt;0,"Partially Paid","Not Yet Due")))))))</f>
        <v/>
      </c>
      <c r="O155" s="16" t="str">
        <f aca="true">IF(OR(B155="",H155="",N155="Paid"),"",H155-TODAY())</f>
        <v/>
      </c>
      <c r="P155" s="17" t="str">
        <f aca="false">IF(AND(N155="Paid",L155&lt;&gt;"",E155&lt;&gt;""),L155-E155,"")</f>
        <v/>
      </c>
      <c r="Q155" s="8"/>
    </row>
    <row r="156" customFormat="false" ht="15" hidden="false" customHeight="false" outlineLevel="0" collapsed="false">
      <c r="A156" s="7"/>
      <c r="B156" s="8"/>
      <c r="C156" s="9"/>
      <c r="D156" s="9"/>
      <c r="E156" s="10"/>
      <c r="F156" s="7"/>
      <c r="G156" s="11" t="str">
        <f aca="false">IF(B156="","",IF(F156&lt;&gt;"",F156,IFERROR(INDEX(Settings!$B$5:$B$24,MATCH(D156,Settings!$A$5:$A$24,0)),Settings!$F$5)))</f>
        <v/>
      </c>
      <c r="H156" s="12" t="str">
        <f aca="false">IF(OR(B156="",E156=""),"",E156+G156)</f>
        <v/>
      </c>
      <c r="I156" s="13"/>
      <c r="J156" s="10"/>
      <c r="K156" s="13"/>
      <c r="L156" s="10"/>
      <c r="M156" s="14" t="str">
        <f aca="false">IF(B156="","",N(I156)-N(K156))</f>
        <v/>
      </c>
      <c r="N156" s="15" t="str">
        <f aca="true">IF(B156="","",IF(N(I156)=0,"Enter amount",IF(N(K156)&gt;=I156,"Paid",IF(H156="","Enter date",IF(TODAY()&gt;H156,"Overdue",IF(H156-TODAY()&lt;=Settings!$F$6,"Due Soon",IF(N(K156)&gt;0,"Partially Paid","Not Yet Due")))))))</f>
        <v/>
      </c>
      <c r="O156" s="16" t="str">
        <f aca="true">IF(OR(B156="",H156="",N156="Paid"),"",H156-TODAY())</f>
        <v/>
      </c>
      <c r="P156" s="17" t="str">
        <f aca="false">IF(AND(N156="Paid",L156&lt;&gt;"",E156&lt;&gt;""),L156-E156,"")</f>
        <v/>
      </c>
      <c r="Q156" s="8"/>
    </row>
    <row r="157" customFormat="false" ht="15" hidden="false" customHeight="false" outlineLevel="0" collapsed="false">
      <c r="A157" s="7"/>
      <c r="B157" s="8"/>
      <c r="C157" s="9"/>
      <c r="D157" s="9"/>
      <c r="E157" s="10"/>
      <c r="F157" s="7"/>
      <c r="G157" s="11" t="str">
        <f aca="false">IF(B157="","",IF(F157&lt;&gt;"",F157,IFERROR(INDEX(Settings!$B$5:$B$24,MATCH(D157,Settings!$A$5:$A$24,0)),Settings!$F$5)))</f>
        <v/>
      </c>
      <c r="H157" s="12" t="str">
        <f aca="false">IF(OR(B157="",E157=""),"",E157+G157)</f>
        <v/>
      </c>
      <c r="I157" s="13"/>
      <c r="J157" s="10"/>
      <c r="K157" s="13"/>
      <c r="L157" s="10"/>
      <c r="M157" s="14" t="str">
        <f aca="false">IF(B157="","",N(I157)-N(K157))</f>
        <v/>
      </c>
      <c r="N157" s="15" t="str">
        <f aca="true">IF(B157="","",IF(N(I157)=0,"Enter amount",IF(N(K157)&gt;=I157,"Paid",IF(H157="","Enter date",IF(TODAY()&gt;H157,"Overdue",IF(H157-TODAY()&lt;=Settings!$F$6,"Due Soon",IF(N(K157)&gt;0,"Partially Paid","Not Yet Due")))))))</f>
        <v/>
      </c>
      <c r="O157" s="16" t="str">
        <f aca="true">IF(OR(B157="",H157="",N157="Paid"),"",H157-TODAY())</f>
        <v/>
      </c>
      <c r="P157" s="17" t="str">
        <f aca="false">IF(AND(N157="Paid",L157&lt;&gt;"",E157&lt;&gt;""),L157-E157,"")</f>
        <v/>
      </c>
      <c r="Q157" s="8"/>
    </row>
    <row r="158" customFormat="false" ht="15" hidden="false" customHeight="false" outlineLevel="0" collapsed="false">
      <c r="A158" s="7"/>
      <c r="B158" s="8"/>
      <c r="C158" s="9"/>
      <c r="D158" s="9"/>
      <c r="E158" s="10"/>
      <c r="F158" s="7"/>
      <c r="G158" s="11" t="str">
        <f aca="false">IF(B158="","",IF(F158&lt;&gt;"",F158,IFERROR(INDEX(Settings!$B$5:$B$24,MATCH(D158,Settings!$A$5:$A$24,0)),Settings!$F$5)))</f>
        <v/>
      </c>
      <c r="H158" s="12" t="str">
        <f aca="false">IF(OR(B158="",E158=""),"",E158+G158)</f>
        <v/>
      </c>
      <c r="I158" s="13"/>
      <c r="J158" s="10"/>
      <c r="K158" s="13"/>
      <c r="L158" s="10"/>
      <c r="M158" s="14" t="str">
        <f aca="false">IF(B158="","",N(I158)-N(K158))</f>
        <v/>
      </c>
      <c r="N158" s="15" t="str">
        <f aca="true">IF(B158="","",IF(N(I158)=0,"Enter amount",IF(N(K158)&gt;=I158,"Paid",IF(H158="","Enter date",IF(TODAY()&gt;H158,"Overdue",IF(H158-TODAY()&lt;=Settings!$F$6,"Due Soon",IF(N(K158)&gt;0,"Partially Paid","Not Yet Due")))))))</f>
        <v/>
      </c>
      <c r="O158" s="16" t="str">
        <f aca="true">IF(OR(B158="",H158="",N158="Paid"),"",H158-TODAY())</f>
        <v/>
      </c>
      <c r="P158" s="17" t="str">
        <f aca="false">IF(AND(N158="Paid",L158&lt;&gt;"",E158&lt;&gt;""),L158-E158,"")</f>
        <v/>
      </c>
      <c r="Q158" s="8"/>
    </row>
    <row r="159" customFormat="false" ht="15" hidden="false" customHeight="false" outlineLevel="0" collapsed="false">
      <c r="A159" s="7"/>
      <c r="B159" s="8"/>
      <c r="C159" s="9"/>
      <c r="D159" s="9"/>
      <c r="E159" s="10"/>
      <c r="F159" s="7"/>
      <c r="G159" s="11" t="str">
        <f aca="false">IF(B159="","",IF(F159&lt;&gt;"",F159,IFERROR(INDEX(Settings!$B$5:$B$24,MATCH(D159,Settings!$A$5:$A$24,0)),Settings!$F$5)))</f>
        <v/>
      </c>
      <c r="H159" s="12" t="str">
        <f aca="false">IF(OR(B159="",E159=""),"",E159+G159)</f>
        <v/>
      </c>
      <c r="I159" s="13"/>
      <c r="J159" s="10"/>
      <c r="K159" s="13"/>
      <c r="L159" s="10"/>
      <c r="M159" s="14" t="str">
        <f aca="false">IF(B159="","",N(I159)-N(K159))</f>
        <v/>
      </c>
      <c r="N159" s="15" t="str">
        <f aca="true">IF(B159="","",IF(N(I159)=0,"Enter amount",IF(N(K159)&gt;=I159,"Paid",IF(H159="","Enter date",IF(TODAY()&gt;H159,"Overdue",IF(H159-TODAY()&lt;=Settings!$F$6,"Due Soon",IF(N(K159)&gt;0,"Partially Paid","Not Yet Due")))))))</f>
        <v/>
      </c>
      <c r="O159" s="16" t="str">
        <f aca="true">IF(OR(B159="",H159="",N159="Paid"),"",H159-TODAY())</f>
        <v/>
      </c>
      <c r="P159" s="17" t="str">
        <f aca="false">IF(AND(N159="Paid",L159&lt;&gt;"",E159&lt;&gt;""),L159-E159,"")</f>
        <v/>
      </c>
      <c r="Q159" s="8"/>
    </row>
    <row r="160" customFormat="false" ht="15" hidden="false" customHeight="false" outlineLevel="0" collapsed="false">
      <c r="A160" s="7"/>
      <c r="B160" s="8"/>
      <c r="C160" s="9"/>
      <c r="D160" s="9"/>
      <c r="E160" s="10"/>
      <c r="F160" s="7"/>
      <c r="G160" s="11" t="str">
        <f aca="false">IF(B160="","",IF(F160&lt;&gt;"",F160,IFERROR(INDEX(Settings!$B$5:$B$24,MATCH(D160,Settings!$A$5:$A$24,0)),Settings!$F$5)))</f>
        <v/>
      </c>
      <c r="H160" s="12" t="str">
        <f aca="false">IF(OR(B160="",E160=""),"",E160+G160)</f>
        <v/>
      </c>
      <c r="I160" s="13"/>
      <c r="J160" s="10"/>
      <c r="K160" s="13"/>
      <c r="L160" s="10"/>
      <c r="M160" s="14" t="str">
        <f aca="false">IF(B160="","",N(I160)-N(K160))</f>
        <v/>
      </c>
      <c r="N160" s="15" t="str">
        <f aca="true">IF(B160="","",IF(N(I160)=0,"Enter amount",IF(N(K160)&gt;=I160,"Paid",IF(H160="","Enter date",IF(TODAY()&gt;H160,"Overdue",IF(H160-TODAY()&lt;=Settings!$F$6,"Due Soon",IF(N(K160)&gt;0,"Partially Paid","Not Yet Due")))))))</f>
        <v/>
      </c>
      <c r="O160" s="16" t="str">
        <f aca="true">IF(OR(B160="",H160="",N160="Paid"),"",H160-TODAY())</f>
        <v/>
      </c>
      <c r="P160" s="17" t="str">
        <f aca="false">IF(AND(N160="Paid",L160&lt;&gt;"",E160&lt;&gt;""),L160-E160,"")</f>
        <v/>
      </c>
      <c r="Q160" s="8"/>
    </row>
    <row r="161" customFormat="false" ht="15" hidden="false" customHeight="false" outlineLevel="0" collapsed="false">
      <c r="A161" s="7"/>
      <c r="B161" s="8"/>
      <c r="C161" s="9"/>
      <c r="D161" s="9"/>
      <c r="E161" s="10"/>
      <c r="F161" s="7"/>
      <c r="G161" s="11" t="str">
        <f aca="false">IF(B161="","",IF(F161&lt;&gt;"",F161,IFERROR(INDEX(Settings!$B$5:$B$24,MATCH(D161,Settings!$A$5:$A$24,0)),Settings!$F$5)))</f>
        <v/>
      </c>
      <c r="H161" s="12" t="str">
        <f aca="false">IF(OR(B161="",E161=""),"",E161+G161)</f>
        <v/>
      </c>
      <c r="I161" s="13"/>
      <c r="J161" s="10"/>
      <c r="K161" s="13"/>
      <c r="L161" s="10"/>
      <c r="M161" s="14" t="str">
        <f aca="false">IF(B161="","",N(I161)-N(K161))</f>
        <v/>
      </c>
      <c r="N161" s="15" t="str">
        <f aca="true">IF(B161="","",IF(N(I161)=0,"Enter amount",IF(N(K161)&gt;=I161,"Paid",IF(H161="","Enter date",IF(TODAY()&gt;H161,"Overdue",IF(H161-TODAY()&lt;=Settings!$F$6,"Due Soon",IF(N(K161)&gt;0,"Partially Paid","Not Yet Due")))))))</f>
        <v/>
      </c>
      <c r="O161" s="16" t="str">
        <f aca="true">IF(OR(B161="",H161="",N161="Paid"),"",H161-TODAY())</f>
        <v/>
      </c>
      <c r="P161" s="17" t="str">
        <f aca="false">IF(AND(N161="Paid",L161&lt;&gt;"",E161&lt;&gt;""),L161-E161,"")</f>
        <v/>
      </c>
      <c r="Q161" s="8"/>
    </row>
    <row r="162" customFormat="false" ht="15" hidden="false" customHeight="false" outlineLevel="0" collapsed="false">
      <c r="A162" s="7"/>
      <c r="B162" s="8"/>
      <c r="C162" s="9"/>
      <c r="D162" s="9"/>
      <c r="E162" s="10"/>
      <c r="F162" s="7"/>
      <c r="G162" s="11" t="str">
        <f aca="false">IF(B162="","",IF(F162&lt;&gt;"",F162,IFERROR(INDEX(Settings!$B$5:$B$24,MATCH(D162,Settings!$A$5:$A$24,0)),Settings!$F$5)))</f>
        <v/>
      </c>
      <c r="H162" s="12" t="str">
        <f aca="false">IF(OR(B162="",E162=""),"",E162+G162)</f>
        <v/>
      </c>
      <c r="I162" s="13"/>
      <c r="J162" s="10"/>
      <c r="K162" s="13"/>
      <c r="L162" s="10"/>
      <c r="M162" s="14" t="str">
        <f aca="false">IF(B162="","",N(I162)-N(K162))</f>
        <v/>
      </c>
      <c r="N162" s="15" t="str">
        <f aca="true">IF(B162="","",IF(N(I162)=0,"Enter amount",IF(N(K162)&gt;=I162,"Paid",IF(H162="","Enter date",IF(TODAY()&gt;H162,"Overdue",IF(H162-TODAY()&lt;=Settings!$F$6,"Due Soon",IF(N(K162)&gt;0,"Partially Paid","Not Yet Due")))))))</f>
        <v/>
      </c>
      <c r="O162" s="16" t="str">
        <f aca="true">IF(OR(B162="",H162="",N162="Paid"),"",H162-TODAY())</f>
        <v/>
      </c>
      <c r="P162" s="17" t="str">
        <f aca="false">IF(AND(N162="Paid",L162&lt;&gt;"",E162&lt;&gt;""),L162-E162,"")</f>
        <v/>
      </c>
      <c r="Q162" s="8"/>
    </row>
    <row r="163" customFormat="false" ht="15" hidden="false" customHeight="false" outlineLevel="0" collapsed="false">
      <c r="A163" s="7"/>
      <c r="B163" s="8"/>
      <c r="C163" s="9"/>
      <c r="D163" s="9"/>
      <c r="E163" s="10"/>
      <c r="F163" s="7"/>
      <c r="G163" s="11" t="str">
        <f aca="false">IF(B163="","",IF(F163&lt;&gt;"",F163,IFERROR(INDEX(Settings!$B$5:$B$24,MATCH(D163,Settings!$A$5:$A$24,0)),Settings!$F$5)))</f>
        <v/>
      </c>
      <c r="H163" s="12" t="str">
        <f aca="false">IF(OR(B163="",E163=""),"",E163+G163)</f>
        <v/>
      </c>
      <c r="I163" s="13"/>
      <c r="J163" s="10"/>
      <c r="K163" s="13"/>
      <c r="L163" s="10"/>
      <c r="M163" s="14" t="str">
        <f aca="false">IF(B163="","",N(I163)-N(K163))</f>
        <v/>
      </c>
      <c r="N163" s="15" t="str">
        <f aca="true">IF(B163="","",IF(N(I163)=0,"Enter amount",IF(N(K163)&gt;=I163,"Paid",IF(H163="","Enter date",IF(TODAY()&gt;H163,"Overdue",IF(H163-TODAY()&lt;=Settings!$F$6,"Due Soon",IF(N(K163)&gt;0,"Partially Paid","Not Yet Due")))))))</f>
        <v/>
      </c>
      <c r="O163" s="16" t="str">
        <f aca="true">IF(OR(B163="",H163="",N163="Paid"),"",H163-TODAY())</f>
        <v/>
      </c>
      <c r="P163" s="17" t="str">
        <f aca="false">IF(AND(N163="Paid",L163&lt;&gt;"",E163&lt;&gt;""),L163-E163,"")</f>
        <v/>
      </c>
      <c r="Q163" s="8"/>
    </row>
    <row r="164" customFormat="false" ht="15" hidden="false" customHeight="false" outlineLevel="0" collapsed="false">
      <c r="A164" s="7"/>
      <c r="B164" s="8"/>
      <c r="C164" s="9"/>
      <c r="D164" s="9"/>
      <c r="E164" s="10"/>
      <c r="F164" s="7"/>
      <c r="G164" s="11" t="str">
        <f aca="false">IF(B164="","",IF(F164&lt;&gt;"",F164,IFERROR(INDEX(Settings!$B$5:$B$24,MATCH(D164,Settings!$A$5:$A$24,0)),Settings!$F$5)))</f>
        <v/>
      </c>
      <c r="H164" s="12" t="str">
        <f aca="false">IF(OR(B164="",E164=""),"",E164+G164)</f>
        <v/>
      </c>
      <c r="I164" s="13"/>
      <c r="J164" s="10"/>
      <c r="K164" s="13"/>
      <c r="L164" s="10"/>
      <c r="M164" s="14" t="str">
        <f aca="false">IF(B164="","",N(I164)-N(K164))</f>
        <v/>
      </c>
      <c r="N164" s="15" t="str">
        <f aca="true">IF(B164="","",IF(N(I164)=0,"Enter amount",IF(N(K164)&gt;=I164,"Paid",IF(H164="","Enter date",IF(TODAY()&gt;H164,"Overdue",IF(H164-TODAY()&lt;=Settings!$F$6,"Due Soon",IF(N(K164)&gt;0,"Partially Paid","Not Yet Due")))))))</f>
        <v/>
      </c>
      <c r="O164" s="16" t="str">
        <f aca="true">IF(OR(B164="",H164="",N164="Paid"),"",H164-TODAY())</f>
        <v/>
      </c>
      <c r="P164" s="17" t="str">
        <f aca="false">IF(AND(N164="Paid",L164&lt;&gt;"",E164&lt;&gt;""),L164-E164,"")</f>
        <v/>
      </c>
      <c r="Q164" s="8"/>
    </row>
    <row r="165" customFormat="false" ht="15" hidden="false" customHeight="false" outlineLevel="0" collapsed="false">
      <c r="A165" s="7"/>
      <c r="B165" s="8"/>
      <c r="C165" s="9"/>
      <c r="D165" s="9"/>
      <c r="E165" s="10"/>
      <c r="F165" s="7"/>
      <c r="G165" s="11" t="str">
        <f aca="false">IF(B165="","",IF(F165&lt;&gt;"",F165,IFERROR(INDEX(Settings!$B$5:$B$24,MATCH(D165,Settings!$A$5:$A$24,0)),Settings!$F$5)))</f>
        <v/>
      </c>
      <c r="H165" s="12" t="str">
        <f aca="false">IF(OR(B165="",E165=""),"",E165+G165)</f>
        <v/>
      </c>
      <c r="I165" s="13"/>
      <c r="J165" s="10"/>
      <c r="K165" s="13"/>
      <c r="L165" s="10"/>
      <c r="M165" s="14" t="str">
        <f aca="false">IF(B165="","",N(I165)-N(K165))</f>
        <v/>
      </c>
      <c r="N165" s="15" t="str">
        <f aca="true">IF(B165="","",IF(N(I165)=0,"Enter amount",IF(N(K165)&gt;=I165,"Paid",IF(H165="","Enter date",IF(TODAY()&gt;H165,"Overdue",IF(H165-TODAY()&lt;=Settings!$F$6,"Due Soon",IF(N(K165)&gt;0,"Partially Paid","Not Yet Due")))))))</f>
        <v/>
      </c>
      <c r="O165" s="16" t="str">
        <f aca="true">IF(OR(B165="",H165="",N165="Paid"),"",H165-TODAY())</f>
        <v/>
      </c>
      <c r="P165" s="17" t="str">
        <f aca="false">IF(AND(N165="Paid",L165&lt;&gt;"",E165&lt;&gt;""),L165-E165,"")</f>
        <v/>
      </c>
      <c r="Q165" s="8"/>
    </row>
    <row r="166" customFormat="false" ht="15" hidden="false" customHeight="false" outlineLevel="0" collapsed="false">
      <c r="A166" s="7"/>
      <c r="B166" s="8"/>
      <c r="C166" s="9"/>
      <c r="D166" s="9"/>
      <c r="E166" s="10"/>
      <c r="F166" s="7"/>
      <c r="G166" s="11" t="str">
        <f aca="false">IF(B166="","",IF(F166&lt;&gt;"",F166,IFERROR(INDEX(Settings!$B$5:$B$24,MATCH(D166,Settings!$A$5:$A$24,0)),Settings!$F$5)))</f>
        <v/>
      </c>
      <c r="H166" s="12" t="str">
        <f aca="false">IF(OR(B166="",E166=""),"",E166+G166)</f>
        <v/>
      </c>
      <c r="I166" s="13"/>
      <c r="J166" s="10"/>
      <c r="K166" s="13"/>
      <c r="L166" s="10"/>
      <c r="M166" s="14" t="str">
        <f aca="false">IF(B166="","",N(I166)-N(K166))</f>
        <v/>
      </c>
      <c r="N166" s="15" t="str">
        <f aca="true">IF(B166="","",IF(N(I166)=0,"Enter amount",IF(N(K166)&gt;=I166,"Paid",IF(H166="","Enter date",IF(TODAY()&gt;H166,"Overdue",IF(H166-TODAY()&lt;=Settings!$F$6,"Due Soon",IF(N(K166)&gt;0,"Partially Paid","Not Yet Due")))))))</f>
        <v/>
      </c>
      <c r="O166" s="16" t="str">
        <f aca="true">IF(OR(B166="",H166="",N166="Paid"),"",H166-TODAY())</f>
        <v/>
      </c>
      <c r="P166" s="17" t="str">
        <f aca="false">IF(AND(N166="Paid",L166&lt;&gt;"",E166&lt;&gt;""),L166-E166,"")</f>
        <v/>
      </c>
      <c r="Q166" s="8"/>
    </row>
    <row r="167" customFormat="false" ht="15" hidden="false" customHeight="false" outlineLevel="0" collapsed="false">
      <c r="A167" s="7"/>
      <c r="B167" s="8"/>
      <c r="C167" s="9"/>
      <c r="D167" s="9"/>
      <c r="E167" s="10"/>
      <c r="F167" s="7"/>
      <c r="G167" s="11" t="str">
        <f aca="false">IF(B167="","",IF(F167&lt;&gt;"",F167,IFERROR(INDEX(Settings!$B$5:$B$24,MATCH(D167,Settings!$A$5:$A$24,0)),Settings!$F$5)))</f>
        <v/>
      </c>
      <c r="H167" s="12" t="str">
        <f aca="false">IF(OR(B167="",E167=""),"",E167+G167)</f>
        <v/>
      </c>
      <c r="I167" s="13"/>
      <c r="J167" s="10"/>
      <c r="K167" s="13"/>
      <c r="L167" s="10"/>
      <c r="M167" s="14" t="str">
        <f aca="false">IF(B167="","",N(I167)-N(K167))</f>
        <v/>
      </c>
      <c r="N167" s="15" t="str">
        <f aca="true">IF(B167="","",IF(N(I167)=0,"Enter amount",IF(N(K167)&gt;=I167,"Paid",IF(H167="","Enter date",IF(TODAY()&gt;H167,"Overdue",IF(H167-TODAY()&lt;=Settings!$F$6,"Due Soon",IF(N(K167)&gt;0,"Partially Paid","Not Yet Due")))))))</f>
        <v/>
      </c>
      <c r="O167" s="16" t="str">
        <f aca="true">IF(OR(B167="",H167="",N167="Paid"),"",H167-TODAY())</f>
        <v/>
      </c>
      <c r="P167" s="17" t="str">
        <f aca="false">IF(AND(N167="Paid",L167&lt;&gt;"",E167&lt;&gt;""),L167-E167,"")</f>
        <v/>
      </c>
      <c r="Q167" s="8"/>
    </row>
    <row r="168" customFormat="false" ht="15" hidden="false" customHeight="false" outlineLevel="0" collapsed="false">
      <c r="A168" s="7"/>
      <c r="B168" s="8"/>
      <c r="C168" s="9"/>
      <c r="D168" s="9"/>
      <c r="E168" s="10"/>
      <c r="F168" s="7"/>
      <c r="G168" s="11" t="str">
        <f aca="false">IF(B168="","",IF(F168&lt;&gt;"",F168,IFERROR(INDEX(Settings!$B$5:$B$24,MATCH(D168,Settings!$A$5:$A$24,0)),Settings!$F$5)))</f>
        <v/>
      </c>
      <c r="H168" s="12" t="str">
        <f aca="false">IF(OR(B168="",E168=""),"",E168+G168)</f>
        <v/>
      </c>
      <c r="I168" s="13"/>
      <c r="J168" s="10"/>
      <c r="K168" s="13"/>
      <c r="L168" s="10"/>
      <c r="M168" s="14" t="str">
        <f aca="false">IF(B168="","",N(I168)-N(K168))</f>
        <v/>
      </c>
      <c r="N168" s="15" t="str">
        <f aca="true">IF(B168="","",IF(N(I168)=0,"Enter amount",IF(N(K168)&gt;=I168,"Paid",IF(H168="","Enter date",IF(TODAY()&gt;H168,"Overdue",IF(H168-TODAY()&lt;=Settings!$F$6,"Due Soon",IF(N(K168)&gt;0,"Partially Paid","Not Yet Due")))))))</f>
        <v/>
      </c>
      <c r="O168" s="16" t="str">
        <f aca="true">IF(OR(B168="",H168="",N168="Paid"),"",H168-TODAY())</f>
        <v/>
      </c>
      <c r="P168" s="17" t="str">
        <f aca="false">IF(AND(N168="Paid",L168&lt;&gt;"",E168&lt;&gt;""),L168-E168,"")</f>
        <v/>
      </c>
      <c r="Q168" s="8"/>
    </row>
    <row r="169" customFormat="false" ht="15" hidden="false" customHeight="false" outlineLevel="0" collapsed="false">
      <c r="A169" s="7"/>
      <c r="B169" s="8"/>
      <c r="C169" s="9"/>
      <c r="D169" s="9"/>
      <c r="E169" s="10"/>
      <c r="F169" s="7"/>
      <c r="G169" s="11" t="str">
        <f aca="false">IF(B169="","",IF(F169&lt;&gt;"",F169,IFERROR(INDEX(Settings!$B$5:$B$24,MATCH(D169,Settings!$A$5:$A$24,0)),Settings!$F$5)))</f>
        <v/>
      </c>
      <c r="H169" s="12" t="str">
        <f aca="false">IF(OR(B169="",E169=""),"",E169+G169)</f>
        <v/>
      </c>
      <c r="I169" s="13"/>
      <c r="J169" s="10"/>
      <c r="K169" s="13"/>
      <c r="L169" s="10"/>
      <c r="M169" s="14" t="str">
        <f aca="false">IF(B169="","",N(I169)-N(K169))</f>
        <v/>
      </c>
      <c r="N169" s="15" t="str">
        <f aca="true">IF(B169="","",IF(N(I169)=0,"Enter amount",IF(N(K169)&gt;=I169,"Paid",IF(H169="","Enter date",IF(TODAY()&gt;H169,"Overdue",IF(H169-TODAY()&lt;=Settings!$F$6,"Due Soon",IF(N(K169)&gt;0,"Partially Paid","Not Yet Due")))))))</f>
        <v/>
      </c>
      <c r="O169" s="16" t="str">
        <f aca="true">IF(OR(B169="",H169="",N169="Paid"),"",H169-TODAY())</f>
        <v/>
      </c>
      <c r="P169" s="17" t="str">
        <f aca="false">IF(AND(N169="Paid",L169&lt;&gt;"",E169&lt;&gt;""),L169-E169,"")</f>
        <v/>
      </c>
      <c r="Q169" s="8"/>
    </row>
    <row r="170" customFormat="false" ht="15" hidden="false" customHeight="false" outlineLevel="0" collapsed="false">
      <c r="A170" s="7"/>
      <c r="B170" s="8"/>
      <c r="C170" s="9"/>
      <c r="D170" s="9"/>
      <c r="E170" s="10"/>
      <c r="F170" s="7"/>
      <c r="G170" s="11" t="str">
        <f aca="false">IF(B170="","",IF(F170&lt;&gt;"",F170,IFERROR(INDEX(Settings!$B$5:$B$24,MATCH(D170,Settings!$A$5:$A$24,0)),Settings!$F$5)))</f>
        <v/>
      </c>
      <c r="H170" s="12" t="str">
        <f aca="false">IF(OR(B170="",E170=""),"",E170+G170)</f>
        <v/>
      </c>
      <c r="I170" s="13"/>
      <c r="J170" s="10"/>
      <c r="K170" s="13"/>
      <c r="L170" s="10"/>
      <c r="M170" s="14" t="str">
        <f aca="false">IF(B170="","",N(I170)-N(K170))</f>
        <v/>
      </c>
      <c r="N170" s="15" t="str">
        <f aca="true">IF(B170="","",IF(N(I170)=0,"Enter amount",IF(N(K170)&gt;=I170,"Paid",IF(H170="","Enter date",IF(TODAY()&gt;H170,"Overdue",IF(H170-TODAY()&lt;=Settings!$F$6,"Due Soon",IF(N(K170)&gt;0,"Partially Paid","Not Yet Due")))))))</f>
        <v/>
      </c>
      <c r="O170" s="16" t="str">
        <f aca="true">IF(OR(B170="",H170="",N170="Paid"),"",H170-TODAY())</f>
        <v/>
      </c>
      <c r="P170" s="17" t="str">
        <f aca="false">IF(AND(N170="Paid",L170&lt;&gt;"",E170&lt;&gt;""),L170-E170,"")</f>
        <v/>
      </c>
      <c r="Q170" s="8"/>
    </row>
    <row r="171" customFormat="false" ht="15" hidden="false" customHeight="false" outlineLevel="0" collapsed="false">
      <c r="A171" s="7"/>
      <c r="B171" s="8"/>
      <c r="C171" s="9"/>
      <c r="D171" s="9"/>
      <c r="E171" s="10"/>
      <c r="F171" s="7"/>
      <c r="G171" s="11" t="str">
        <f aca="false">IF(B171="","",IF(F171&lt;&gt;"",F171,IFERROR(INDEX(Settings!$B$5:$B$24,MATCH(D171,Settings!$A$5:$A$24,0)),Settings!$F$5)))</f>
        <v/>
      </c>
      <c r="H171" s="12" t="str">
        <f aca="false">IF(OR(B171="",E171=""),"",E171+G171)</f>
        <v/>
      </c>
      <c r="I171" s="13"/>
      <c r="J171" s="10"/>
      <c r="K171" s="13"/>
      <c r="L171" s="10"/>
      <c r="M171" s="14" t="str">
        <f aca="false">IF(B171="","",N(I171)-N(K171))</f>
        <v/>
      </c>
      <c r="N171" s="15" t="str">
        <f aca="true">IF(B171="","",IF(N(I171)=0,"Enter amount",IF(N(K171)&gt;=I171,"Paid",IF(H171="","Enter date",IF(TODAY()&gt;H171,"Overdue",IF(H171-TODAY()&lt;=Settings!$F$6,"Due Soon",IF(N(K171)&gt;0,"Partially Paid","Not Yet Due")))))))</f>
        <v/>
      </c>
      <c r="O171" s="16" t="str">
        <f aca="true">IF(OR(B171="",H171="",N171="Paid"),"",H171-TODAY())</f>
        <v/>
      </c>
      <c r="P171" s="17" t="str">
        <f aca="false">IF(AND(N171="Paid",L171&lt;&gt;"",E171&lt;&gt;""),L171-E171,"")</f>
        <v/>
      </c>
      <c r="Q171" s="8"/>
    </row>
    <row r="172" customFormat="false" ht="15" hidden="false" customHeight="false" outlineLevel="0" collapsed="false">
      <c r="A172" s="7"/>
      <c r="B172" s="8"/>
      <c r="C172" s="9"/>
      <c r="D172" s="9"/>
      <c r="E172" s="10"/>
      <c r="F172" s="7"/>
      <c r="G172" s="11" t="str">
        <f aca="false">IF(B172="","",IF(F172&lt;&gt;"",F172,IFERROR(INDEX(Settings!$B$5:$B$24,MATCH(D172,Settings!$A$5:$A$24,0)),Settings!$F$5)))</f>
        <v/>
      </c>
      <c r="H172" s="12" t="str">
        <f aca="false">IF(OR(B172="",E172=""),"",E172+G172)</f>
        <v/>
      </c>
      <c r="I172" s="13"/>
      <c r="J172" s="10"/>
      <c r="K172" s="13"/>
      <c r="L172" s="10"/>
      <c r="M172" s="14" t="str">
        <f aca="false">IF(B172="","",N(I172)-N(K172))</f>
        <v/>
      </c>
      <c r="N172" s="15" t="str">
        <f aca="true">IF(B172="","",IF(N(I172)=0,"Enter amount",IF(N(K172)&gt;=I172,"Paid",IF(H172="","Enter date",IF(TODAY()&gt;H172,"Overdue",IF(H172-TODAY()&lt;=Settings!$F$6,"Due Soon",IF(N(K172)&gt;0,"Partially Paid","Not Yet Due")))))))</f>
        <v/>
      </c>
      <c r="O172" s="16" t="str">
        <f aca="true">IF(OR(B172="",H172="",N172="Paid"),"",H172-TODAY())</f>
        <v/>
      </c>
      <c r="P172" s="17" t="str">
        <f aca="false">IF(AND(N172="Paid",L172&lt;&gt;"",E172&lt;&gt;""),L172-E172,"")</f>
        <v/>
      </c>
      <c r="Q172" s="8"/>
    </row>
    <row r="173" customFormat="false" ht="15" hidden="false" customHeight="false" outlineLevel="0" collapsed="false">
      <c r="A173" s="7"/>
      <c r="B173" s="8"/>
      <c r="C173" s="9"/>
      <c r="D173" s="9"/>
      <c r="E173" s="10"/>
      <c r="F173" s="7"/>
      <c r="G173" s="11" t="str">
        <f aca="false">IF(B173="","",IF(F173&lt;&gt;"",F173,IFERROR(INDEX(Settings!$B$5:$B$24,MATCH(D173,Settings!$A$5:$A$24,0)),Settings!$F$5)))</f>
        <v/>
      </c>
      <c r="H173" s="12" t="str">
        <f aca="false">IF(OR(B173="",E173=""),"",E173+G173)</f>
        <v/>
      </c>
      <c r="I173" s="13"/>
      <c r="J173" s="10"/>
      <c r="K173" s="13"/>
      <c r="L173" s="10"/>
      <c r="M173" s="14" t="str">
        <f aca="false">IF(B173="","",N(I173)-N(K173))</f>
        <v/>
      </c>
      <c r="N173" s="15" t="str">
        <f aca="true">IF(B173="","",IF(N(I173)=0,"Enter amount",IF(N(K173)&gt;=I173,"Paid",IF(H173="","Enter date",IF(TODAY()&gt;H173,"Overdue",IF(H173-TODAY()&lt;=Settings!$F$6,"Due Soon",IF(N(K173)&gt;0,"Partially Paid","Not Yet Due")))))))</f>
        <v/>
      </c>
      <c r="O173" s="16" t="str">
        <f aca="true">IF(OR(B173="",H173="",N173="Paid"),"",H173-TODAY())</f>
        <v/>
      </c>
      <c r="P173" s="17" t="str">
        <f aca="false">IF(AND(N173="Paid",L173&lt;&gt;"",E173&lt;&gt;""),L173-E173,"")</f>
        <v/>
      </c>
      <c r="Q173" s="8"/>
    </row>
    <row r="174" customFormat="false" ht="15" hidden="false" customHeight="false" outlineLevel="0" collapsed="false">
      <c r="A174" s="7"/>
      <c r="B174" s="8"/>
      <c r="C174" s="9"/>
      <c r="D174" s="9"/>
      <c r="E174" s="10"/>
      <c r="F174" s="7"/>
      <c r="G174" s="11" t="str">
        <f aca="false">IF(B174="","",IF(F174&lt;&gt;"",F174,IFERROR(INDEX(Settings!$B$5:$B$24,MATCH(D174,Settings!$A$5:$A$24,0)),Settings!$F$5)))</f>
        <v/>
      </c>
      <c r="H174" s="12" t="str">
        <f aca="false">IF(OR(B174="",E174=""),"",E174+G174)</f>
        <v/>
      </c>
      <c r="I174" s="13"/>
      <c r="J174" s="10"/>
      <c r="K174" s="13"/>
      <c r="L174" s="10"/>
      <c r="M174" s="14" t="str">
        <f aca="false">IF(B174="","",N(I174)-N(K174))</f>
        <v/>
      </c>
      <c r="N174" s="15" t="str">
        <f aca="true">IF(B174="","",IF(N(I174)=0,"Enter amount",IF(N(K174)&gt;=I174,"Paid",IF(H174="","Enter date",IF(TODAY()&gt;H174,"Overdue",IF(H174-TODAY()&lt;=Settings!$F$6,"Due Soon",IF(N(K174)&gt;0,"Partially Paid","Not Yet Due")))))))</f>
        <v/>
      </c>
      <c r="O174" s="16" t="str">
        <f aca="true">IF(OR(B174="",H174="",N174="Paid"),"",H174-TODAY())</f>
        <v/>
      </c>
      <c r="P174" s="17" t="str">
        <f aca="false">IF(AND(N174="Paid",L174&lt;&gt;"",E174&lt;&gt;""),L174-E174,"")</f>
        <v/>
      </c>
      <c r="Q174" s="8"/>
    </row>
    <row r="175" customFormat="false" ht="15" hidden="false" customHeight="false" outlineLevel="0" collapsed="false">
      <c r="A175" s="7"/>
      <c r="B175" s="8"/>
      <c r="C175" s="9"/>
      <c r="D175" s="9"/>
      <c r="E175" s="10"/>
      <c r="F175" s="7"/>
      <c r="G175" s="11" t="str">
        <f aca="false">IF(B175="","",IF(F175&lt;&gt;"",F175,IFERROR(INDEX(Settings!$B$5:$B$24,MATCH(D175,Settings!$A$5:$A$24,0)),Settings!$F$5)))</f>
        <v/>
      </c>
      <c r="H175" s="12" t="str">
        <f aca="false">IF(OR(B175="",E175=""),"",E175+G175)</f>
        <v/>
      </c>
      <c r="I175" s="13"/>
      <c r="J175" s="10"/>
      <c r="K175" s="13"/>
      <c r="L175" s="10"/>
      <c r="M175" s="14" t="str">
        <f aca="false">IF(B175="","",N(I175)-N(K175))</f>
        <v/>
      </c>
      <c r="N175" s="15" t="str">
        <f aca="true">IF(B175="","",IF(N(I175)=0,"Enter amount",IF(N(K175)&gt;=I175,"Paid",IF(H175="","Enter date",IF(TODAY()&gt;H175,"Overdue",IF(H175-TODAY()&lt;=Settings!$F$6,"Due Soon",IF(N(K175)&gt;0,"Partially Paid","Not Yet Due")))))))</f>
        <v/>
      </c>
      <c r="O175" s="16" t="str">
        <f aca="true">IF(OR(B175="",H175="",N175="Paid"),"",H175-TODAY())</f>
        <v/>
      </c>
      <c r="P175" s="17" t="str">
        <f aca="false">IF(AND(N175="Paid",L175&lt;&gt;"",E175&lt;&gt;""),L175-E175,"")</f>
        <v/>
      </c>
      <c r="Q175" s="8"/>
    </row>
    <row r="176" customFormat="false" ht="15" hidden="false" customHeight="false" outlineLevel="0" collapsed="false">
      <c r="A176" s="7"/>
      <c r="B176" s="8"/>
      <c r="C176" s="9"/>
      <c r="D176" s="9"/>
      <c r="E176" s="10"/>
      <c r="F176" s="7"/>
      <c r="G176" s="11" t="str">
        <f aca="false">IF(B176="","",IF(F176&lt;&gt;"",F176,IFERROR(INDEX(Settings!$B$5:$B$24,MATCH(D176,Settings!$A$5:$A$24,0)),Settings!$F$5)))</f>
        <v/>
      </c>
      <c r="H176" s="12" t="str">
        <f aca="false">IF(OR(B176="",E176=""),"",E176+G176)</f>
        <v/>
      </c>
      <c r="I176" s="13"/>
      <c r="J176" s="10"/>
      <c r="K176" s="13"/>
      <c r="L176" s="10"/>
      <c r="M176" s="14" t="str">
        <f aca="false">IF(B176="","",N(I176)-N(K176))</f>
        <v/>
      </c>
      <c r="N176" s="15" t="str">
        <f aca="true">IF(B176="","",IF(N(I176)=0,"Enter amount",IF(N(K176)&gt;=I176,"Paid",IF(H176="","Enter date",IF(TODAY()&gt;H176,"Overdue",IF(H176-TODAY()&lt;=Settings!$F$6,"Due Soon",IF(N(K176)&gt;0,"Partially Paid","Not Yet Due")))))))</f>
        <v/>
      </c>
      <c r="O176" s="16" t="str">
        <f aca="true">IF(OR(B176="",H176="",N176="Paid"),"",H176-TODAY())</f>
        <v/>
      </c>
      <c r="P176" s="17" t="str">
        <f aca="false">IF(AND(N176="Paid",L176&lt;&gt;"",E176&lt;&gt;""),L176-E176,"")</f>
        <v/>
      </c>
      <c r="Q176" s="8"/>
    </row>
    <row r="177" customFormat="false" ht="15" hidden="false" customHeight="false" outlineLevel="0" collapsed="false">
      <c r="A177" s="7"/>
      <c r="B177" s="8"/>
      <c r="C177" s="9"/>
      <c r="D177" s="9"/>
      <c r="E177" s="10"/>
      <c r="F177" s="7"/>
      <c r="G177" s="11" t="str">
        <f aca="false">IF(B177="","",IF(F177&lt;&gt;"",F177,IFERROR(INDEX(Settings!$B$5:$B$24,MATCH(D177,Settings!$A$5:$A$24,0)),Settings!$F$5)))</f>
        <v/>
      </c>
      <c r="H177" s="12" t="str">
        <f aca="false">IF(OR(B177="",E177=""),"",E177+G177)</f>
        <v/>
      </c>
      <c r="I177" s="13"/>
      <c r="J177" s="10"/>
      <c r="K177" s="13"/>
      <c r="L177" s="10"/>
      <c r="M177" s="14" t="str">
        <f aca="false">IF(B177="","",N(I177)-N(K177))</f>
        <v/>
      </c>
      <c r="N177" s="15" t="str">
        <f aca="true">IF(B177="","",IF(N(I177)=0,"Enter amount",IF(N(K177)&gt;=I177,"Paid",IF(H177="","Enter date",IF(TODAY()&gt;H177,"Overdue",IF(H177-TODAY()&lt;=Settings!$F$6,"Due Soon",IF(N(K177)&gt;0,"Partially Paid","Not Yet Due")))))))</f>
        <v/>
      </c>
      <c r="O177" s="16" t="str">
        <f aca="true">IF(OR(B177="",H177="",N177="Paid"),"",H177-TODAY())</f>
        <v/>
      </c>
      <c r="P177" s="17" t="str">
        <f aca="false">IF(AND(N177="Paid",L177&lt;&gt;"",E177&lt;&gt;""),L177-E177,"")</f>
        <v/>
      </c>
      <c r="Q177" s="8"/>
    </row>
    <row r="178" customFormat="false" ht="15" hidden="false" customHeight="false" outlineLevel="0" collapsed="false">
      <c r="A178" s="7"/>
      <c r="B178" s="8"/>
      <c r="C178" s="9"/>
      <c r="D178" s="9"/>
      <c r="E178" s="10"/>
      <c r="F178" s="7"/>
      <c r="G178" s="11" t="str">
        <f aca="false">IF(B178="","",IF(F178&lt;&gt;"",F178,IFERROR(INDEX(Settings!$B$5:$B$24,MATCH(D178,Settings!$A$5:$A$24,0)),Settings!$F$5)))</f>
        <v/>
      </c>
      <c r="H178" s="12" t="str">
        <f aca="false">IF(OR(B178="",E178=""),"",E178+G178)</f>
        <v/>
      </c>
      <c r="I178" s="13"/>
      <c r="J178" s="10"/>
      <c r="K178" s="13"/>
      <c r="L178" s="10"/>
      <c r="M178" s="14" t="str">
        <f aca="false">IF(B178="","",N(I178)-N(K178))</f>
        <v/>
      </c>
      <c r="N178" s="15" t="str">
        <f aca="true">IF(B178="","",IF(N(I178)=0,"Enter amount",IF(N(K178)&gt;=I178,"Paid",IF(H178="","Enter date",IF(TODAY()&gt;H178,"Overdue",IF(H178-TODAY()&lt;=Settings!$F$6,"Due Soon",IF(N(K178)&gt;0,"Partially Paid","Not Yet Due")))))))</f>
        <v/>
      </c>
      <c r="O178" s="16" t="str">
        <f aca="true">IF(OR(B178="",H178="",N178="Paid"),"",H178-TODAY())</f>
        <v/>
      </c>
      <c r="P178" s="17" t="str">
        <f aca="false">IF(AND(N178="Paid",L178&lt;&gt;"",E178&lt;&gt;""),L178-E178,"")</f>
        <v/>
      </c>
      <c r="Q178" s="8"/>
    </row>
    <row r="179" customFormat="false" ht="15" hidden="false" customHeight="false" outlineLevel="0" collapsed="false">
      <c r="A179" s="7"/>
      <c r="B179" s="8"/>
      <c r="C179" s="9"/>
      <c r="D179" s="9"/>
      <c r="E179" s="10"/>
      <c r="F179" s="7"/>
      <c r="G179" s="11" t="str">
        <f aca="false">IF(B179="","",IF(F179&lt;&gt;"",F179,IFERROR(INDEX(Settings!$B$5:$B$24,MATCH(D179,Settings!$A$5:$A$24,0)),Settings!$F$5)))</f>
        <v/>
      </c>
      <c r="H179" s="12" t="str">
        <f aca="false">IF(OR(B179="",E179=""),"",E179+G179)</f>
        <v/>
      </c>
      <c r="I179" s="13"/>
      <c r="J179" s="10"/>
      <c r="K179" s="13"/>
      <c r="L179" s="10"/>
      <c r="M179" s="14" t="str">
        <f aca="false">IF(B179="","",N(I179)-N(K179))</f>
        <v/>
      </c>
      <c r="N179" s="15" t="str">
        <f aca="true">IF(B179="","",IF(N(I179)=0,"Enter amount",IF(N(K179)&gt;=I179,"Paid",IF(H179="","Enter date",IF(TODAY()&gt;H179,"Overdue",IF(H179-TODAY()&lt;=Settings!$F$6,"Due Soon",IF(N(K179)&gt;0,"Partially Paid","Not Yet Due")))))))</f>
        <v/>
      </c>
      <c r="O179" s="16" t="str">
        <f aca="true">IF(OR(B179="",H179="",N179="Paid"),"",H179-TODAY())</f>
        <v/>
      </c>
      <c r="P179" s="17" t="str">
        <f aca="false">IF(AND(N179="Paid",L179&lt;&gt;"",E179&lt;&gt;""),L179-E179,"")</f>
        <v/>
      </c>
      <c r="Q179" s="8"/>
    </row>
    <row r="180" customFormat="false" ht="15" hidden="false" customHeight="false" outlineLevel="0" collapsed="false">
      <c r="A180" s="7"/>
      <c r="B180" s="8"/>
      <c r="C180" s="9"/>
      <c r="D180" s="9"/>
      <c r="E180" s="10"/>
      <c r="F180" s="7"/>
      <c r="G180" s="11" t="str">
        <f aca="false">IF(B180="","",IF(F180&lt;&gt;"",F180,IFERROR(INDEX(Settings!$B$5:$B$24,MATCH(D180,Settings!$A$5:$A$24,0)),Settings!$F$5)))</f>
        <v/>
      </c>
      <c r="H180" s="12" t="str">
        <f aca="false">IF(OR(B180="",E180=""),"",E180+G180)</f>
        <v/>
      </c>
      <c r="I180" s="13"/>
      <c r="J180" s="10"/>
      <c r="K180" s="13"/>
      <c r="L180" s="10"/>
      <c r="M180" s="14" t="str">
        <f aca="false">IF(B180="","",N(I180)-N(K180))</f>
        <v/>
      </c>
      <c r="N180" s="15" t="str">
        <f aca="true">IF(B180="","",IF(N(I180)=0,"Enter amount",IF(N(K180)&gt;=I180,"Paid",IF(H180="","Enter date",IF(TODAY()&gt;H180,"Overdue",IF(H180-TODAY()&lt;=Settings!$F$6,"Due Soon",IF(N(K180)&gt;0,"Partially Paid","Not Yet Due")))))))</f>
        <v/>
      </c>
      <c r="O180" s="16" t="str">
        <f aca="true">IF(OR(B180="",H180="",N180="Paid"),"",H180-TODAY())</f>
        <v/>
      </c>
      <c r="P180" s="17" t="str">
        <f aca="false">IF(AND(N180="Paid",L180&lt;&gt;"",E180&lt;&gt;""),L180-E180,"")</f>
        <v/>
      </c>
      <c r="Q180" s="8"/>
    </row>
    <row r="181" customFormat="false" ht="15" hidden="false" customHeight="false" outlineLevel="0" collapsed="false">
      <c r="A181" s="7"/>
      <c r="B181" s="8"/>
      <c r="C181" s="9"/>
      <c r="D181" s="9"/>
      <c r="E181" s="10"/>
      <c r="F181" s="7"/>
      <c r="G181" s="11" t="str">
        <f aca="false">IF(B181="","",IF(F181&lt;&gt;"",F181,IFERROR(INDEX(Settings!$B$5:$B$24,MATCH(D181,Settings!$A$5:$A$24,0)),Settings!$F$5)))</f>
        <v/>
      </c>
      <c r="H181" s="12" t="str">
        <f aca="false">IF(OR(B181="",E181=""),"",E181+G181)</f>
        <v/>
      </c>
      <c r="I181" s="13"/>
      <c r="J181" s="10"/>
      <c r="K181" s="13"/>
      <c r="L181" s="10"/>
      <c r="M181" s="14" t="str">
        <f aca="false">IF(B181="","",N(I181)-N(K181))</f>
        <v/>
      </c>
      <c r="N181" s="15" t="str">
        <f aca="true">IF(B181="","",IF(N(I181)=0,"Enter amount",IF(N(K181)&gt;=I181,"Paid",IF(H181="","Enter date",IF(TODAY()&gt;H181,"Overdue",IF(H181-TODAY()&lt;=Settings!$F$6,"Due Soon",IF(N(K181)&gt;0,"Partially Paid","Not Yet Due")))))))</f>
        <v/>
      </c>
      <c r="O181" s="16" t="str">
        <f aca="true">IF(OR(B181="",H181="",N181="Paid"),"",H181-TODAY())</f>
        <v/>
      </c>
      <c r="P181" s="17" t="str">
        <f aca="false">IF(AND(N181="Paid",L181&lt;&gt;"",E181&lt;&gt;""),L181-E181,"")</f>
        <v/>
      </c>
      <c r="Q181" s="8"/>
    </row>
    <row r="182" customFormat="false" ht="15" hidden="false" customHeight="false" outlineLevel="0" collapsed="false">
      <c r="A182" s="7"/>
      <c r="B182" s="8"/>
      <c r="C182" s="9"/>
      <c r="D182" s="9"/>
      <c r="E182" s="10"/>
      <c r="F182" s="7"/>
      <c r="G182" s="11" t="str">
        <f aca="false">IF(B182="","",IF(F182&lt;&gt;"",F182,IFERROR(INDEX(Settings!$B$5:$B$24,MATCH(D182,Settings!$A$5:$A$24,0)),Settings!$F$5)))</f>
        <v/>
      </c>
      <c r="H182" s="12" t="str">
        <f aca="false">IF(OR(B182="",E182=""),"",E182+G182)</f>
        <v/>
      </c>
      <c r="I182" s="13"/>
      <c r="J182" s="10"/>
      <c r="K182" s="13"/>
      <c r="L182" s="10"/>
      <c r="M182" s="14" t="str">
        <f aca="false">IF(B182="","",N(I182)-N(K182))</f>
        <v/>
      </c>
      <c r="N182" s="15" t="str">
        <f aca="true">IF(B182="","",IF(N(I182)=0,"Enter amount",IF(N(K182)&gt;=I182,"Paid",IF(H182="","Enter date",IF(TODAY()&gt;H182,"Overdue",IF(H182-TODAY()&lt;=Settings!$F$6,"Due Soon",IF(N(K182)&gt;0,"Partially Paid","Not Yet Due")))))))</f>
        <v/>
      </c>
      <c r="O182" s="16" t="str">
        <f aca="true">IF(OR(B182="",H182="",N182="Paid"),"",H182-TODAY())</f>
        <v/>
      </c>
      <c r="P182" s="17" t="str">
        <f aca="false">IF(AND(N182="Paid",L182&lt;&gt;"",E182&lt;&gt;""),L182-E182,"")</f>
        <v/>
      </c>
      <c r="Q182" s="8"/>
    </row>
    <row r="183" customFormat="false" ht="15" hidden="false" customHeight="false" outlineLevel="0" collapsed="false">
      <c r="A183" s="7"/>
      <c r="B183" s="8"/>
      <c r="C183" s="9"/>
      <c r="D183" s="9"/>
      <c r="E183" s="10"/>
      <c r="F183" s="7"/>
      <c r="G183" s="11" t="str">
        <f aca="false">IF(B183="","",IF(F183&lt;&gt;"",F183,IFERROR(INDEX(Settings!$B$5:$B$24,MATCH(D183,Settings!$A$5:$A$24,0)),Settings!$F$5)))</f>
        <v/>
      </c>
      <c r="H183" s="12" t="str">
        <f aca="false">IF(OR(B183="",E183=""),"",E183+G183)</f>
        <v/>
      </c>
      <c r="I183" s="13"/>
      <c r="J183" s="10"/>
      <c r="K183" s="13"/>
      <c r="L183" s="10"/>
      <c r="M183" s="14" t="str">
        <f aca="false">IF(B183="","",N(I183)-N(K183))</f>
        <v/>
      </c>
      <c r="N183" s="15" t="str">
        <f aca="true">IF(B183="","",IF(N(I183)=0,"Enter amount",IF(N(K183)&gt;=I183,"Paid",IF(H183="","Enter date",IF(TODAY()&gt;H183,"Overdue",IF(H183-TODAY()&lt;=Settings!$F$6,"Due Soon",IF(N(K183)&gt;0,"Partially Paid","Not Yet Due")))))))</f>
        <v/>
      </c>
      <c r="O183" s="16" t="str">
        <f aca="true">IF(OR(B183="",H183="",N183="Paid"),"",H183-TODAY())</f>
        <v/>
      </c>
      <c r="P183" s="17" t="str">
        <f aca="false">IF(AND(N183="Paid",L183&lt;&gt;"",E183&lt;&gt;""),L183-E183,"")</f>
        <v/>
      </c>
      <c r="Q183" s="8"/>
    </row>
    <row r="184" customFormat="false" ht="15" hidden="false" customHeight="false" outlineLevel="0" collapsed="false">
      <c r="A184" s="7"/>
      <c r="B184" s="8"/>
      <c r="C184" s="9"/>
      <c r="D184" s="9"/>
      <c r="E184" s="10"/>
      <c r="F184" s="7"/>
      <c r="G184" s="11" t="str">
        <f aca="false">IF(B184="","",IF(F184&lt;&gt;"",F184,IFERROR(INDEX(Settings!$B$5:$B$24,MATCH(D184,Settings!$A$5:$A$24,0)),Settings!$F$5)))</f>
        <v/>
      </c>
      <c r="H184" s="12" t="str">
        <f aca="false">IF(OR(B184="",E184=""),"",E184+G184)</f>
        <v/>
      </c>
      <c r="I184" s="13"/>
      <c r="J184" s="10"/>
      <c r="K184" s="13"/>
      <c r="L184" s="10"/>
      <c r="M184" s="14" t="str">
        <f aca="false">IF(B184="","",N(I184)-N(K184))</f>
        <v/>
      </c>
      <c r="N184" s="15" t="str">
        <f aca="true">IF(B184="","",IF(N(I184)=0,"Enter amount",IF(N(K184)&gt;=I184,"Paid",IF(H184="","Enter date",IF(TODAY()&gt;H184,"Overdue",IF(H184-TODAY()&lt;=Settings!$F$6,"Due Soon",IF(N(K184)&gt;0,"Partially Paid","Not Yet Due")))))))</f>
        <v/>
      </c>
      <c r="O184" s="16" t="str">
        <f aca="true">IF(OR(B184="",H184="",N184="Paid"),"",H184-TODAY())</f>
        <v/>
      </c>
      <c r="P184" s="17" t="str">
        <f aca="false">IF(AND(N184="Paid",L184&lt;&gt;"",E184&lt;&gt;""),L184-E184,"")</f>
        <v/>
      </c>
      <c r="Q184" s="8"/>
    </row>
    <row r="185" customFormat="false" ht="15" hidden="false" customHeight="false" outlineLevel="0" collapsed="false">
      <c r="A185" s="7"/>
      <c r="B185" s="8"/>
      <c r="C185" s="9"/>
      <c r="D185" s="9"/>
      <c r="E185" s="10"/>
      <c r="F185" s="7"/>
      <c r="G185" s="11" t="str">
        <f aca="false">IF(B185="","",IF(F185&lt;&gt;"",F185,IFERROR(INDEX(Settings!$B$5:$B$24,MATCH(D185,Settings!$A$5:$A$24,0)),Settings!$F$5)))</f>
        <v/>
      </c>
      <c r="H185" s="12" t="str">
        <f aca="false">IF(OR(B185="",E185=""),"",E185+G185)</f>
        <v/>
      </c>
      <c r="I185" s="13"/>
      <c r="J185" s="10"/>
      <c r="K185" s="13"/>
      <c r="L185" s="10"/>
      <c r="M185" s="14" t="str">
        <f aca="false">IF(B185="","",N(I185)-N(K185))</f>
        <v/>
      </c>
      <c r="N185" s="15" t="str">
        <f aca="true">IF(B185="","",IF(N(I185)=0,"Enter amount",IF(N(K185)&gt;=I185,"Paid",IF(H185="","Enter date",IF(TODAY()&gt;H185,"Overdue",IF(H185-TODAY()&lt;=Settings!$F$6,"Due Soon",IF(N(K185)&gt;0,"Partially Paid","Not Yet Due")))))))</f>
        <v/>
      </c>
      <c r="O185" s="16" t="str">
        <f aca="true">IF(OR(B185="",H185="",N185="Paid"),"",H185-TODAY())</f>
        <v/>
      </c>
      <c r="P185" s="17" t="str">
        <f aca="false">IF(AND(N185="Paid",L185&lt;&gt;"",E185&lt;&gt;""),L185-E185,"")</f>
        <v/>
      </c>
      <c r="Q185" s="8"/>
    </row>
    <row r="186" customFormat="false" ht="15" hidden="false" customHeight="false" outlineLevel="0" collapsed="false">
      <c r="A186" s="7"/>
      <c r="B186" s="8"/>
      <c r="C186" s="9"/>
      <c r="D186" s="9"/>
      <c r="E186" s="10"/>
      <c r="F186" s="7"/>
      <c r="G186" s="11" t="str">
        <f aca="false">IF(B186="","",IF(F186&lt;&gt;"",F186,IFERROR(INDEX(Settings!$B$5:$B$24,MATCH(D186,Settings!$A$5:$A$24,0)),Settings!$F$5)))</f>
        <v/>
      </c>
      <c r="H186" s="12" t="str">
        <f aca="false">IF(OR(B186="",E186=""),"",E186+G186)</f>
        <v/>
      </c>
      <c r="I186" s="13"/>
      <c r="J186" s="10"/>
      <c r="K186" s="13"/>
      <c r="L186" s="10"/>
      <c r="M186" s="14" t="str">
        <f aca="false">IF(B186="","",N(I186)-N(K186))</f>
        <v/>
      </c>
      <c r="N186" s="15" t="str">
        <f aca="true">IF(B186="","",IF(N(I186)=0,"Enter amount",IF(N(K186)&gt;=I186,"Paid",IF(H186="","Enter date",IF(TODAY()&gt;H186,"Overdue",IF(H186-TODAY()&lt;=Settings!$F$6,"Due Soon",IF(N(K186)&gt;0,"Partially Paid","Not Yet Due")))))))</f>
        <v/>
      </c>
      <c r="O186" s="16" t="str">
        <f aca="true">IF(OR(B186="",H186="",N186="Paid"),"",H186-TODAY())</f>
        <v/>
      </c>
      <c r="P186" s="17" t="str">
        <f aca="false">IF(AND(N186="Paid",L186&lt;&gt;"",E186&lt;&gt;""),L186-E186,"")</f>
        <v/>
      </c>
      <c r="Q186" s="8"/>
    </row>
    <row r="187" customFormat="false" ht="15" hidden="false" customHeight="false" outlineLevel="0" collapsed="false">
      <c r="A187" s="7"/>
      <c r="B187" s="8"/>
      <c r="C187" s="9"/>
      <c r="D187" s="9"/>
      <c r="E187" s="10"/>
      <c r="F187" s="7"/>
      <c r="G187" s="11" t="str">
        <f aca="false">IF(B187="","",IF(F187&lt;&gt;"",F187,IFERROR(INDEX(Settings!$B$5:$B$24,MATCH(D187,Settings!$A$5:$A$24,0)),Settings!$F$5)))</f>
        <v/>
      </c>
      <c r="H187" s="12" t="str">
        <f aca="false">IF(OR(B187="",E187=""),"",E187+G187)</f>
        <v/>
      </c>
      <c r="I187" s="13"/>
      <c r="J187" s="10"/>
      <c r="K187" s="13"/>
      <c r="L187" s="10"/>
      <c r="M187" s="14" t="str">
        <f aca="false">IF(B187="","",N(I187)-N(K187))</f>
        <v/>
      </c>
      <c r="N187" s="15" t="str">
        <f aca="true">IF(B187="","",IF(N(I187)=0,"Enter amount",IF(N(K187)&gt;=I187,"Paid",IF(H187="","Enter date",IF(TODAY()&gt;H187,"Overdue",IF(H187-TODAY()&lt;=Settings!$F$6,"Due Soon",IF(N(K187)&gt;0,"Partially Paid","Not Yet Due")))))))</f>
        <v/>
      </c>
      <c r="O187" s="16" t="str">
        <f aca="true">IF(OR(B187="",H187="",N187="Paid"),"",H187-TODAY())</f>
        <v/>
      </c>
      <c r="P187" s="17" t="str">
        <f aca="false">IF(AND(N187="Paid",L187&lt;&gt;"",E187&lt;&gt;""),L187-E187,"")</f>
        <v/>
      </c>
      <c r="Q187" s="8"/>
    </row>
    <row r="188" customFormat="false" ht="15" hidden="false" customHeight="false" outlineLevel="0" collapsed="false">
      <c r="A188" s="7"/>
      <c r="B188" s="8"/>
      <c r="C188" s="9"/>
      <c r="D188" s="9"/>
      <c r="E188" s="10"/>
      <c r="F188" s="7"/>
      <c r="G188" s="11" t="str">
        <f aca="false">IF(B188="","",IF(F188&lt;&gt;"",F188,IFERROR(INDEX(Settings!$B$5:$B$24,MATCH(D188,Settings!$A$5:$A$24,0)),Settings!$F$5)))</f>
        <v/>
      </c>
      <c r="H188" s="12" t="str">
        <f aca="false">IF(OR(B188="",E188=""),"",E188+G188)</f>
        <v/>
      </c>
      <c r="I188" s="13"/>
      <c r="J188" s="10"/>
      <c r="K188" s="13"/>
      <c r="L188" s="10"/>
      <c r="M188" s="14" t="str">
        <f aca="false">IF(B188="","",N(I188)-N(K188))</f>
        <v/>
      </c>
      <c r="N188" s="15" t="str">
        <f aca="true">IF(B188="","",IF(N(I188)=0,"Enter amount",IF(N(K188)&gt;=I188,"Paid",IF(H188="","Enter date",IF(TODAY()&gt;H188,"Overdue",IF(H188-TODAY()&lt;=Settings!$F$6,"Due Soon",IF(N(K188)&gt;0,"Partially Paid","Not Yet Due")))))))</f>
        <v/>
      </c>
      <c r="O188" s="16" t="str">
        <f aca="true">IF(OR(B188="",H188="",N188="Paid"),"",H188-TODAY())</f>
        <v/>
      </c>
      <c r="P188" s="17" t="str">
        <f aca="false">IF(AND(N188="Paid",L188&lt;&gt;"",E188&lt;&gt;""),L188-E188,"")</f>
        <v/>
      </c>
      <c r="Q188" s="8"/>
    </row>
    <row r="189" customFormat="false" ht="15" hidden="false" customHeight="false" outlineLevel="0" collapsed="false">
      <c r="A189" s="7"/>
      <c r="B189" s="8"/>
      <c r="C189" s="9"/>
      <c r="D189" s="9"/>
      <c r="E189" s="10"/>
      <c r="F189" s="7"/>
      <c r="G189" s="11" t="str">
        <f aca="false">IF(B189="","",IF(F189&lt;&gt;"",F189,IFERROR(INDEX(Settings!$B$5:$B$24,MATCH(D189,Settings!$A$5:$A$24,0)),Settings!$F$5)))</f>
        <v/>
      </c>
      <c r="H189" s="12" t="str">
        <f aca="false">IF(OR(B189="",E189=""),"",E189+G189)</f>
        <v/>
      </c>
      <c r="I189" s="13"/>
      <c r="J189" s="10"/>
      <c r="K189" s="13"/>
      <c r="L189" s="10"/>
      <c r="M189" s="14" t="str">
        <f aca="false">IF(B189="","",N(I189)-N(K189))</f>
        <v/>
      </c>
      <c r="N189" s="15" t="str">
        <f aca="true">IF(B189="","",IF(N(I189)=0,"Enter amount",IF(N(K189)&gt;=I189,"Paid",IF(H189="","Enter date",IF(TODAY()&gt;H189,"Overdue",IF(H189-TODAY()&lt;=Settings!$F$6,"Due Soon",IF(N(K189)&gt;0,"Partially Paid","Not Yet Due")))))))</f>
        <v/>
      </c>
      <c r="O189" s="16" t="str">
        <f aca="true">IF(OR(B189="",H189="",N189="Paid"),"",H189-TODAY())</f>
        <v/>
      </c>
      <c r="P189" s="17" t="str">
        <f aca="false">IF(AND(N189="Paid",L189&lt;&gt;"",E189&lt;&gt;""),L189-E189,"")</f>
        <v/>
      </c>
      <c r="Q189" s="8"/>
    </row>
    <row r="190" customFormat="false" ht="15" hidden="false" customHeight="false" outlineLevel="0" collapsed="false">
      <c r="A190" s="7"/>
      <c r="B190" s="8"/>
      <c r="C190" s="9"/>
      <c r="D190" s="9"/>
      <c r="E190" s="10"/>
      <c r="F190" s="7"/>
      <c r="G190" s="11" t="str">
        <f aca="false">IF(B190="","",IF(F190&lt;&gt;"",F190,IFERROR(INDEX(Settings!$B$5:$B$24,MATCH(D190,Settings!$A$5:$A$24,0)),Settings!$F$5)))</f>
        <v/>
      </c>
      <c r="H190" s="12" t="str">
        <f aca="false">IF(OR(B190="",E190=""),"",E190+G190)</f>
        <v/>
      </c>
      <c r="I190" s="13"/>
      <c r="J190" s="10"/>
      <c r="K190" s="13"/>
      <c r="L190" s="10"/>
      <c r="M190" s="14" t="str">
        <f aca="false">IF(B190="","",N(I190)-N(K190))</f>
        <v/>
      </c>
      <c r="N190" s="15" t="str">
        <f aca="true">IF(B190="","",IF(N(I190)=0,"Enter amount",IF(N(K190)&gt;=I190,"Paid",IF(H190="","Enter date",IF(TODAY()&gt;H190,"Overdue",IF(H190-TODAY()&lt;=Settings!$F$6,"Due Soon",IF(N(K190)&gt;0,"Partially Paid","Not Yet Due")))))))</f>
        <v/>
      </c>
      <c r="O190" s="16" t="str">
        <f aca="true">IF(OR(B190="",H190="",N190="Paid"),"",H190-TODAY())</f>
        <v/>
      </c>
      <c r="P190" s="17" t="str">
        <f aca="false">IF(AND(N190="Paid",L190&lt;&gt;"",E190&lt;&gt;""),L190-E190,"")</f>
        <v/>
      </c>
      <c r="Q190" s="8"/>
    </row>
    <row r="191" customFormat="false" ht="15" hidden="false" customHeight="false" outlineLevel="0" collapsed="false">
      <c r="A191" s="7"/>
      <c r="B191" s="8"/>
      <c r="C191" s="9"/>
      <c r="D191" s="9"/>
      <c r="E191" s="10"/>
      <c r="F191" s="7"/>
      <c r="G191" s="11" t="str">
        <f aca="false">IF(B191="","",IF(F191&lt;&gt;"",F191,IFERROR(INDEX(Settings!$B$5:$B$24,MATCH(D191,Settings!$A$5:$A$24,0)),Settings!$F$5)))</f>
        <v/>
      </c>
      <c r="H191" s="12" t="str">
        <f aca="false">IF(OR(B191="",E191=""),"",E191+G191)</f>
        <v/>
      </c>
      <c r="I191" s="13"/>
      <c r="J191" s="10"/>
      <c r="K191" s="13"/>
      <c r="L191" s="10"/>
      <c r="M191" s="14" t="str">
        <f aca="false">IF(B191="","",N(I191)-N(K191))</f>
        <v/>
      </c>
      <c r="N191" s="15" t="str">
        <f aca="true">IF(B191="","",IF(N(I191)=0,"Enter amount",IF(N(K191)&gt;=I191,"Paid",IF(H191="","Enter date",IF(TODAY()&gt;H191,"Overdue",IF(H191-TODAY()&lt;=Settings!$F$6,"Due Soon",IF(N(K191)&gt;0,"Partially Paid","Not Yet Due")))))))</f>
        <v/>
      </c>
      <c r="O191" s="16" t="str">
        <f aca="true">IF(OR(B191="",H191="",N191="Paid"),"",H191-TODAY())</f>
        <v/>
      </c>
      <c r="P191" s="17" t="str">
        <f aca="false">IF(AND(N191="Paid",L191&lt;&gt;"",E191&lt;&gt;""),L191-E191,"")</f>
        <v/>
      </c>
      <c r="Q191" s="8"/>
    </row>
    <row r="192" customFormat="false" ht="15" hidden="false" customHeight="false" outlineLevel="0" collapsed="false">
      <c r="A192" s="7"/>
      <c r="B192" s="8"/>
      <c r="C192" s="9"/>
      <c r="D192" s="9"/>
      <c r="E192" s="10"/>
      <c r="F192" s="7"/>
      <c r="G192" s="11" t="str">
        <f aca="false">IF(B192="","",IF(F192&lt;&gt;"",F192,IFERROR(INDEX(Settings!$B$5:$B$24,MATCH(D192,Settings!$A$5:$A$24,0)),Settings!$F$5)))</f>
        <v/>
      </c>
      <c r="H192" s="12" t="str">
        <f aca="false">IF(OR(B192="",E192=""),"",E192+G192)</f>
        <v/>
      </c>
      <c r="I192" s="13"/>
      <c r="J192" s="10"/>
      <c r="K192" s="13"/>
      <c r="L192" s="10"/>
      <c r="M192" s="14" t="str">
        <f aca="false">IF(B192="","",N(I192)-N(K192))</f>
        <v/>
      </c>
      <c r="N192" s="15" t="str">
        <f aca="true">IF(B192="","",IF(N(I192)=0,"Enter amount",IF(N(K192)&gt;=I192,"Paid",IF(H192="","Enter date",IF(TODAY()&gt;H192,"Overdue",IF(H192-TODAY()&lt;=Settings!$F$6,"Due Soon",IF(N(K192)&gt;0,"Partially Paid","Not Yet Due")))))))</f>
        <v/>
      </c>
      <c r="O192" s="16" t="str">
        <f aca="true">IF(OR(B192="",H192="",N192="Paid"),"",H192-TODAY())</f>
        <v/>
      </c>
      <c r="P192" s="17" t="str">
        <f aca="false">IF(AND(N192="Paid",L192&lt;&gt;"",E192&lt;&gt;""),L192-E192,"")</f>
        <v/>
      </c>
      <c r="Q192" s="8"/>
    </row>
    <row r="193" customFormat="false" ht="15" hidden="false" customHeight="false" outlineLevel="0" collapsed="false">
      <c r="A193" s="7"/>
      <c r="B193" s="8"/>
      <c r="C193" s="9"/>
      <c r="D193" s="9"/>
      <c r="E193" s="10"/>
      <c r="F193" s="7"/>
      <c r="G193" s="11" t="str">
        <f aca="false">IF(B193="","",IF(F193&lt;&gt;"",F193,IFERROR(INDEX(Settings!$B$5:$B$24,MATCH(D193,Settings!$A$5:$A$24,0)),Settings!$F$5)))</f>
        <v/>
      </c>
      <c r="H193" s="12" t="str">
        <f aca="false">IF(OR(B193="",E193=""),"",E193+G193)</f>
        <v/>
      </c>
      <c r="I193" s="13"/>
      <c r="J193" s="10"/>
      <c r="K193" s="13"/>
      <c r="L193" s="10"/>
      <c r="M193" s="14" t="str">
        <f aca="false">IF(B193="","",N(I193)-N(K193))</f>
        <v/>
      </c>
      <c r="N193" s="15" t="str">
        <f aca="true">IF(B193="","",IF(N(I193)=0,"Enter amount",IF(N(K193)&gt;=I193,"Paid",IF(H193="","Enter date",IF(TODAY()&gt;H193,"Overdue",IF(H193-TODAY()&lt;=Settings!$F$6,"Due Soon",IF(N(K193)&gt;0,"Partially Paid","Not Yet Due")))))))</f>
        <v/>
      </c>
      <c r="O193" s="16" t="str">
        <f aca="true">IF(OR(B193="",H193="",N193="Paid"),"",H193-TODAY())</f>
        <v/>
      </c>
      <c r="P193" s="17" t="str">
        <f aca="false">IF(AND(N193="Paid",L193&lt;&gt;"",E193&lt;&gt;""),L193-E193,"")</f>
        <v/>
      </c>
      <c r="Q193" s="8"/>
    </row>
    <row r="194" customFormat="false" ht="15" hidden="false" customHeight="false" outlineLevel="0" collapsed="false">
      <c r="A194" s="7"/>
      <c r="B194" s="8"/>
      <c r="C194" s="9"/>
      <c r="D194" s="9"/>
      <c r="E194" s="10"/>
      <c r="F194" s="7"/>
      <c r="G194" s="11" t="str">
        <f aca="false">IF(B194="","",IF(F194&lt;&gt;"",F194,IFERROR(INDEX(Settings!$B$5:$B$24,MATCH(D194,Settings!$A$5:$A$24,0)),Settings!$F$5)))</f>
        <v/>
      </c>
      <c r="H194" s="12" t="str">
        <f aca="false">IF(OR(B194="",E194=""),"",E194+G194)</f>
        <v/>
      </c>
      <c r="I194" s="13"/>
      <c r="J194" s="10"/>
      <c r="K194" s="13"/>
      <c r="L194" s="10"/>
      <c r="M194" s="14" t="str">
        <f aca="false">IF(B194="","",N(I194)-N(K194))</f>
        <v/>
      </c>
      <c r="N194" s="15" t="str">
        <f aca="true">IF(B194="","",IF(N(I194)=0,"Enter amount",IF(N(K194)&gt;=I194,"Paid",IF(H194="","Enter date",IF(TODAY()&gt;H194,"Overdue",IF(H194-TODAY()&lt;=Settings!$F$6,"Due Soon",IF(N(K194)&gt;0,"Partially Paid","Not Yet Due")))))))</f>
        <v/>
      </c>
      <c r="O194" s="16" t="str">
        <f aca="true">IF(OR(B194="",H194="",N194="Paid"),"",H194-TODAY())</f>
        <v/>
      </c>
      <c r="P194" s="17" t="str">
        <f aca="false">IF(AND(N194="Paid",L194&lt;&gt;"",E194&lt;&gt;""),L194-E194,"")</f>
        <v/>
      </c>
      <c r="Q194" s="8"/>
    </row>
    <row r="195" customFormat="false" ht="15" hidden="false" customHeight="false" outlineLevel="0" collapsed="false">
      <c r="A195" s="7"/>
      <c r="B195" s="8"/>
      <c r="C195" s="9"/>
      <c r="D195" s="9"/>
      <c r="E195" s="10"/>
      <c r="F195" s="7"/>
      <c r="G195" s="11" t="str">
        <f aca="false">IF(B195="","",IF(F195&lt;&gt;"",F195,IFERROR(INDEX(Settings!$B$5:$B$24,MATCH(D195,Settings!$A$5:$A$24,0)),Settings!$F$5)))</f>
        <v/>
      </c>
      <c r="H195" s="12" t="str">
        <f aca="false">IF(OR(B195="",E195=""),"",E195+G195)</f>
        <v/>
      </c>
      <c r="I195" s="13"/>
      <c r="J195" s="10"/>
      <c r="K195" s="13"/>
      <c r="L195" s="10"/>
      <c r="M195" s="14" t="str">
        <f aca="false">IF(B195="","",N(I195)-N(K195))</f>
        <v/>
      </c>
      <c r="N195" s="15" t="str">
        <f aca="true">IF(B195="","",IF(N(I195)=0,"Enter amount",IF(N(K195)&gt;=I195,"Paid",IF(H195="","Enter date",IF(TODAY()&gt;H195,"Overdue",IF(H195-TODAY()&lt;=Settings!$F$6,"Due Soon",IF(N(K195)&gt;0,"Partially Paid","Not Yet Due")))))))</f>
        <v/>
      </c>
      <c r="O195" s="16" t="str">
        <f aca="true">IF(OR(B195="",H195="",N195="Paid"),"",H195-TODAY())</f>
        <v/>
      </c>
      <c r="P195" s="17" t="str">
        <f aca="false">IF(AND(N195="Paid",L195&lt;&gt;"",E195&lt;&gt;""),L195-E195,"")</f>
        <v/>
      </c>
      <c r="Q195" s="8"/>
    </row>
    <row r="196" customFormat="false" ht="15" hidden="false" customHeight="false" outlineLevel="0" collapsed="false">
      <c r="A196" s="7"/>
      <c r="B196" s="8"/>
      <c r="C196" s="9"/>
      <c r="D196" s="9"/>
      <c r="E196" s="10"/>
      <c r="F196" s="7"/>
      <c r="G196" s="11" t="str">
        <f aca="false">IF(B196="","",IF(F196&lt;&gt;"",F196,IFERROR(INDEX(Settings!$B$5:$B$24,MATCH(D196,Settings!$A$5:$A$24,0)),Settings!$F$5)))</f>
        <v/>
      </c>
      <c r="H196" s="12" t="str">
        <f aca="false">IF(OR(B196="",E196=""),"",E196+G196)</f>
        <v/>
      </c>
      <c r="I196" s="13"/>
      <c r="J196" s="10"/>
      <c r="K196" s="13"/>
      <c r="L196" s="10"/>
      <c r="M196" s="14" t="str">
        <f aca="false">IF(B196="","",N(I196)-N(K196))</f>
        <v/>
      </c>
      <c r="N196" s="15" t="str">
        <f aca="true">IF(B196="","",IF(N(I196)=0,"Enter amount",IF(N(K196)&gt;=I196,"Paid",IF(H196="","Enter date",IF(TODAY()&gt;H196,"Overdue",IF(H196-TODAY()&lt;=Settings!$F$6,"Due Soon",IF(N(K196)&gt;0,"Partially Paid","Not Yet Due")))))))</f>
        <v/>
      </c>
      <c r="O196" s="16" t="str">
        <f aca="true">IF(OR(B196="",H196="",N196="Paid"),"",H196-TODAY())</f>
        <v/>
      </c>
      <c r="P196" s="17" t="str">
        <f aca="false">IF(AND(N196="Paid",L196&lt;&gt;"",E196&lt;&gt;""),L196-E196,"")</f>
        <v/>
      </c>
      <c r="Q196" s="8"/>
    </row>
    <row r="197" customFormat="false" ht="15" hidden="false" customHeight="false" outlineLevel="0" collapsed="false">
      <c r="A197" s="7"/>
      <c r="B197" s="8"/>
      <c r="C197" s="9"/>
      <c r="D197" s="9"/>
      <c r="E197" s="10"/>
      <c r="F197" s="7"/>
      <c r="G197" s="11" t="str">
        <f aca="false">IF(B197="","",IF(F197&lt;&gt;"",F197,IFERROR(INDEX(Settings!$B$5:$B$24,MATCH(D197,Settings!$A$5:$A$24,0)),Settings!$F$5)))</f>
        <v/>
      </c>
      <c r="H197" s="12" t="str">
        <f aca="false">IF(OR(B197="",E197=""),"",E197+G197)</f>
        <v/>
      </c>
      <c r="I197" s="13"/>
      <c r="J197" s="10"/>
      <c r="K197" s="13"/>
      <c r="L197" s="10"/>
      <c r="M197" s="14" t="str">
        <f aca="false">IF(B197="","",N(I197)-N(K197))</f>
        <v/>
      </c>
      <c r="N197" s="15" t="str">
        <f aca="true">IF(B197="","",IF(N(I197)=0,"Enter amount",IF(N(K197)&gt;=I197,"Paid",IF(H197="","Enter date",IF(TODAY()&gt;H197,"Overdue",IF(H197-TODAY()&lt;=Settings!$F$6,"Due Soon",IF(N(K197)&gt;0,"Partially Paid","Not Yet Due")))))))</f>
        <v/>
      </c>
      <c r="O197" s="16" t="str">
        <f aca="true">IF(OR(B197="",H197="",N197="Paid"),"",H197-TODAY())</f>
        <v/>
      </c>
      <c r="P197" s="17" t="str">
        <f aca="false">IF(AND(N197="Paid",L197&lt;&gt;"",E197&lt;&gt;""),L197-E197,"")</f>
        <v/>
      </c>
      <c r="Q197" s="8"/>
    </row>
    <row r="198" customFormat="false" ht="15" hidden="false" customHeight="false" outlineLevel="0" collapsed="false">
      <c r="A198" s="7"/>
      <c r="B198" s="8"/>
      <c r="C198" s="9"/>
      <c r="D198" s="9"/>
      <c r="E198" s="10"/>
      <c r="F198" s="7"/>
      <c r="G198" s="11" t="str">
        <f aca="false">IF(B198="","",IF(F198&lt;&gt;"",F198,IFERROR(INDEX(Settings!$B$5:$B$24,MATCH(D198,Settings!$A$5:$A$24,0)),Settings!$F$5)))</f>
        <v/>
      </c>
      <c r="H198" s="12" t="str">
        <f aca="false">IF(OR(B198="",E198=""),"",E198+G198)</f>
        <v/>
      </c>
      <c r="I198" s="13"/>
      <c r="J198" s="10"/>
      <c r="K198" s="13"/>
      <c r="L198" s="10"/>
      <c r="M198" s="14" t="str">
        <f aca="false">IF(B198="","",N(I198)-N(K198))</f>
        <v/>
      </c>
      <c r="N198" s="15" t="str">
        <f aca="true">IF(B198="","",IF(N(I198)=0,"Enter amount",IF(N(K198)&gt;=I198,"Paid",IF(H198="","Enter date",IF(TODAY()&gt;H198,"Overdue",IF(H198-TODAY()&lt;=Settings!$F$6,"Due Soon",IF(N(K198)&gt;0,"Partially Paid","Not Yet Due")))))))</f>
        <v/>
      </c>
      <c r="O198" s="16" t="str">
        <f aca="true">IF(OR(B198="",H198="",N198="Paid"),"",H198-TODAY())</f>
        <v/>
      </c>
      <c r="P198" s="17" t="str">
        <f aca="false">IF(AND(N198="Paid",L198&lt;&gt;"",E198&lt;&gt;""),L198-E198,"")</f>
        <v/>
      </c>
      <c r="Q198" s="8"/>
    </row>
    <row r="199" customFormat="false" ht="15" hidden="false" customHeight="false" outlineLevel="0" collapsed="false">
      <c r="A199" s="7"/>
      <c r="B199" s="8"/>
      <c r="C199" s="9"/>
      <c r="D199" s="9"/>
      <c r="E199" s="10"/>
      <c r="F199" s="7"/>
      <c r="G199" s="11" t="str">
        <f aca="false">IF(B199="","",IF(F199&lt;&gt;"",F199,IFERROR(INDEX(Settings!$B$5:$B$24,MATCH(D199,Settings!$A$5:$A$24,0)),Settings!$F$5)))</f>
        <v/>
      </c>
      <c r="H199" s="12" t="str">
        <f aca="false">IF(OR(B199="",E199=""),"",E199+G199)</f>
        <v/>
      </c>
      <c r="I199" s="13"/>
      <c r="J199" s="10"/>
      <c r="K199" s="13"/>
      <c r="L199" s="10"/>
      <c r="M199" s="14" t="str">
        <f aca="false">IF(B199="","",N(I199)-N(K199))</f>
        <v/>
      </c>
      <c r="N199" s="15" t="str">
        <f aca="true">IF(B199="","",IF(N(I199)=0,"Enter amount",IF(N(K199)&gt;=I199,"Paid",IF(H199="","Enter date",IF(TODAY()&gt;H199,"Overdue",IF(H199-TODAY()&lt;=Settings!$F$6,"Due Soon",IF(N(K199)&gt;0,"Partially Paid","Not Yet Due")))))))</f>
        <v/>
      </c>
      <c r="O199" s="16" t="str">
        <f aca="true">IF(OR(B199="",H199="",N199="Paid"),"",H199-TODAY())</f>
        <v/>
      </c>
      <c r="P199" s="17" t="str">
        <f aca="false">IF(AND(N199="Paid",L199&lt;&gt;"",E199&lt;&gt;""),L199-E199,"")</f>
        <v/>
      </c>
      <c r="Q199" s="8"/>
    </row>
    <row r="200" customFormat="false" ht="15" hidden="false" customHeight="false" outlineLevel="0" collapsed="false">
      <c r="A200" s="7"/>
      <c r="B200" s="8"/>
      <c r="C200" s="9"/>
      <c r="D200" s="9"/>
      <c r="E200" s="10"/>
      <c r="F200" s="7"/>
      <c r="G200" s="11" t="str">
        <f aca="false">IF(B200="","",IF(F200&lt;&gt;"",F200,IFERROR(INDEX(Settings!$B$5:$B$24,MATCH(D200,Settings!$A$5:$A$24,0)),Settings!$F$5)))</f>
        <v/>
      </c>
      <c r="H200" s="12" t="str">
        <f aca="false">IF(OR(B200="",E200=""),"",E200+G200)</f>
        <v/>
      </c>
      <c r="I200" s="13"/>
      <c r="J200" s="10"/>
      <c r="K200" s="13"/>
      <c r="L200" s="10"/>
      <c r="M200" s="14" t="str">
        <f aca="false">IF(B200="","",N(I200)-N(K200))</f>
        <v/>
      </c>
      <c r="N200" s="15" t="str">
        <f aca="true">IF(B200="","",IF(N(I200)=0,"Enter amount",IF(N(K200)&gt;=I200,"Paid",IF(H200="","Enter date",IF(TODAY()&gt;H200,"Overdue",IF(H200-TODAY()&lt;=Settings!$F$6,"Due Soon",IF(N(K200)&gt;0,"Partially Paid","Not Yet Due")))))))</f>
        <v/>
      </c>
      <c r="O200" s="16" t="str">
        <f aca="true">IF(OR(B200="",H200="",N200="Paid"),"",H200-TODAY())</f>
        <v/>
      </c>
      <c r="P200" s="17" t="str">
        <f aca="false">IF(AND(N200="Paid",L200&lt;&gt;"",E200&lt;&gt;""),L200-E200,"")</f>
        <v/>
      </c>
      <c r="Q200" s="8"/>
    </row>
    <row r="201" customFormat="false" ht="15" hidden="false" customHeight="false" outlineLevel="0" collapsed="false">
      <c r="A201" s="7"/>
      <c r="B201" s="8"/>
      <c r="C201" s="9"/>
      <c r="D201" s="9"/>
      <c r="E201" s="10"/>
      <c r="F201" s="7"/>
      <c r="G201" s="11" t="str">
        <f aca="false">IF(B201="","",IF(F201&lt;&gt;"",F201,IFERROR(INDEX(Settings!$B$5:$B$24,MATCH(D201,Settings!$A$5:$A$24,0)),Settings!$F$5)))</f>
        <v/>
      </c>
      <c r="H201" s="12" t="str">
        <f aca="false">IF(OR(B201="",E201=""),"",E201+G201)</f>
        <v/>
      </c>
      <c r="I201" s="13"/>
      <c r="J201" s="10"/>
      <c r="K201" s="13"/>
      <c r="L201" s="10"/>
      <c r="M201" s="14" t="str">
        <f aca="false">IF(B201="","",N(I201)-N(K201))</f>
        <v/>
      </c>
      <c r="N201" s="15" t="str">
        <f aca="true">IF(B201="","",IF(N(I201)=0,"Enter amount",IF(N(K201)&gt;=I201,"Paid",IF(H201="","Enter date",IF(TODAY()&gt;H201,"Overdue",IF(H201-TODAY()&lt;=Settings!$F$6,"Due Soon",IF(N(K201)&gt;0,"Partially Paid","Not Yet Due")))))))</f>
        <v/>
      </c>
      <c r="O201" s="16" t="str">
        <f aca="true">IF(OR(B201="",H201="",N201="Paid"),"",H201-TODAY())</f>
        <v/>
      </c>
      <c r="P201" s="17" t="str">
        <f aca="false">IF(AND(N201="Paid",L201&lt;&gt;"",E201&lt;&gt;""),L201-E201,"")</f>
        <v/>
      </c>
      <c r="Q201" s="8"/>
    </row>
    <row r="202" customFormat="false" ht="15" hidden="false" customHeight="false" outlineLevel="0" collapsed="false">
      <c r="A202" s="7"/>
      <c r="B202" s="8"/>
      <c r="C202" s="9"/>
      <c r="D202" s="9"/>
      <c r="E202" s="10"/>
      <c r="F202" s="7"/>
      <c r="G202" s="11" t="str">
        <f aca="false">IF(B202="","",IF(F202&lt;&gt;"",F202,IFERROR(INDEX(Settings!$B$5:$B$24,MATCH(D202,Settings!$A$5:$A$24,0)),Settings!$F$5)))</f>
        <v/>
      </c>
      <c r="H202" s="12" t="str">
        <f aca="false">IF(OR(B202="",E202=""),"",E202+G202)</f>
        <v/>
      </c>
      <c r="I202" s="13"/>
      <c r="J202" s="10"/>
      <c r="K202" s="13"/>
      <c r="L202" s="10"/>
      <c r="M202" s="14" t="str">
        <f aca="false">IF(B202="","",N(I202)-N(K202))</f>
        <v/>
      </c>
      <c r="N202" s="15" t="str">
        <f aca="true">IF(B202="","",IF(N(I202)=0,"Enter amount",IF(N(K202)&gt;=I202,"Paid",IF(H202="","Enter date",IF(TODAY()&gt;H202,"Overdue",IF(H202-TODAY()&lt;=Settings!$F$6,"Due Soon",IF(N(K202)&gt;0,"Partially Paid","Not Yet Due")))))))</f>
        <v/>
      </c>
      <c r="O202" s="16" t="str">
        <f aca="true">IF(OR(B202="",H202="",N202="Paid"),"",H202-TODAY())</f>
        <v/>
      </c>
      <c r="P202" s="17" t="str">
        <f aca="false">IF(AND(N202="Paid",L202&lt;&gt;"",E202&lt;&gt;""),L202-E202,"")</f>
        <v/>
      </c>
      <c r="Q202" s="8"/>
    </row>
    <row r="203" customFormat="false" ht="15" hidden="false" customHeight="false" outlineLevel="0" collapsed="false">
      <c r="A203" s="7"/>
      <c r="B203" s="8"/>
      <c r="C203" s="9"/>
      <c r="D203" s="9"/>
      <c r="E203" s="10"/>
      <c r="F203" s="7"/>
      <c r="G203" s="11" t="str">
        <f aca="false">IF(B203="","",IF(F203&lt;&gt;"",F203,IFERROR(INDEX(Settings!$B$5:$B$24,MATCH(D203,Settings!$A$5:$A$24,0)),Settings!$F$5)))</f>
        <v/>
      </c>
      <c r="H203" s="12" t="str">
        <f aca="false">IF(OR(B203="",E203=""),"",E203+G203)</f>
        <v/>
      </c>
      <c r="I203" s="13"/>
      <c r="J203" s="10"/>
      <c r="K203" s="13"/>
      <c r="L203" s="10"/>
      <c r="M203" s="14" t="str">
        <f aca="false">IF(B203="","",N(I203)-N(K203))</f>
        <v/>
      </c>
      <c r="N203" s="15" t="str">
        <f aca="true">IF(B203="","",IF(N(I203)=0,"Enter amount",IF(N(K203)&gt;=I203,"Paid",IF(H203="","Enter date",IF(TODAY()&gt;H203,"Overdue",IF(H203-TODAY()&lt;=Settings!$F$6,"Due Soon",IF(N(K203)&gt;0,"Partially Paid","Not Yet Due")))))))</f>
        <v/>
      </c>
      <c r="O203" s="16" t="str">
        <f aca="true">IF(OR(B203="",H203="",N203="Paid"),"",H203-TODAY())</f>
        <v/>
      </c>
      <c r="P203" s="17" t="str">
        <f aca="false">IF(AND(N203="Paid",L203&lt;&gt;"",E203&lt;&gt;""),L203-E203,"")</f>
        <v/>
      </c>
      <c r="Q203" s="8"/>
    </row>
    <row r="204" customFormat="false" ht="15" hidden="false" customHeight="false" outlineLevel="0" collapsed="false">
      <c r="A204" s="7"/>
      <c r="B204" s="8"/>
      <c r="C204" s="9"/>
      <c r="D204" s="9"/>
      <c r="E204" s="10"/>
      <c r="F204" s="7"/>
      <c r="G204" s="11" t="str">
        <f aca="false">IF(B204="","",IF(F204&lt;&gt;"",F204,IFERROR(INDEX(Settings!$B$5:$B$24,MATCH(D204,Settings!$A$5:$A$24,0)),Settings!$F$5)))</f>
        <v/>
      </c>
      <c r="H204" s="12" t="str">
        <f aca="false">IF(OR(B204="",E204=""),"",E204+G204)</f>
        <v/>
      </c>
      <c r="I204" s="13"/>
      <c r="J204" s="10"/>
      <c r="K204" s="13"/>
      <c r="L204" s="10"/>
      <c r="M204" s="14" t="str">
        <f aca="false">IF(B204="","",N(I204)-N(K204))</f>
        <v/>
      </c>
      <c r="N204" s="15" t="str">
        <f aca="true">IF(B204="","",IF(N(I204)=0,"Enter amount",IF(N(K204)&gt;=I204,"Paid",IF(H204="","Enter date",IF(TODAY()&gt;H204,"Overdue",IF(H204-TODAY()&lt;=Settings!$F$6,"Due Soon",IF(N(K204)&gt;0,"Partially Paid","Not Yet Due")))))))</f>
        <v/>
      </c>
      <c r="O204" s="16" t="str">
        <f aca="true">IF(OR(B204="",H204="",N204="Paid"),"",H204-TODAY())</f>
        <v/>
      </c>
      <c r="P204" s="17" t="str">
        <f aca="false">IF(AND(N204="Paid",L204&lt;&gt;"",E204&lt;&gt;""),L204-E204,"")</f>
        <v/>
      </c>
      <c r="Q204" s="8"/>
    </row>
  </sheetData>
  <autoFilter ref="A4:Q204"/>
  <conditionalFormatting sqref="N5:N204">
    <cfRule type="expression" priority="2" aboveAverage="0" equalAverage="0" bottom="0" percent="0" rank="0" text="" dxfId="15">
      <formula>$N5="Paid"</formula>
    </cfRule>
    <cfRule type="expression" priority="3" aboveAverage="0" equalAverage="0" bottom="0" percent="0" rank="0" text="" dxfId="16">
      <formula>$N5="Overdue"</formula>
    </cfRule>
    <cfRule type="expression" priority="4" aboveAverage="0" equalAverage="0" bottom="0" percent="0" rank="0" text="" dxfId="17">
      <formula>$N5="Due Soon"</formula>
    </cfRule>
    <cfRule type="expression" priority="5" aboveAverage="0" equalAverage="0" bottom="0" percent="0" rank="0" text="" dxfId="18">
      <formula>$N5="Partially Paid"</formula>
    </cfRule>
    <cfRule type="expression" priority="6" aboveAverage="0" equalAverage="0" bottom="0" percent="0" rank="0" text="" dxfId="19">
      <formula>$N5="Not Yet Due"</formula>
    </cfRule>
  </conditionalFormatting>
  <conditionalFormatting sqref="O5:O204">
    <cfRule type="expression" priority="7" aboveAverage="0" equalAverage="0" bottom="0" percent="0" rank="0" text="" dxfId="20">
      <formula>AND(ISNUMBER($O5),$O5&lt;0)</formula>
    </cfRule>
  </conditionalFormatting>
  <dataValidations count="3">
    <dataValidation allowBlank="true" error="Pick a category from the list (add new ones in Settings)." errorStyle="stop" errorTitle="Category" operator="between" showDropDown="false" showErrorMessage="false" showInputMessage="false" sqref="D5:D204" type="list">
      <formula1>Settings!$A$5:$A$24</formula1>
      <formula2>0</formula2>
    </dataValidation>
    <dataValidation allowBlank="true" error="Enter number of days (0–3650)." errorStyle="stop" operator="between" showDropDown="false" showErrorMessage="false" showInputMessage="false" sqref="F5:F204" type="whole">
      <formula1>0</formula1>
      <formula2>3650</formula2>
    </dataValidation>
    <dataValidation allowBlank="true" error="Enter a valid date." errorStyle="stop" operator="greaterThan" showDropDown="false" showErrorMessage="false" showInputMessage="false" sqref="E5:E204 J5:J204 L5:L2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6" min="3" style="0" width="16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3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3" customFormat="false" ht="15" hidden="false" customHeight="false" outlineLevel="0" collapsed="false">
      <c r="A3" s="3" t="s">
        <v>37</v>
      </c>
      <c r="B3" s="4" t="n">
        <f aca="true">TODAY()</f>
        <v>46309</v>
      </c>
    </row>
    <row r="5" customFormat="false" ht="15" hidden="false" customHeight="false" outlineLevel="0" collapsed="false">
      <c r="A5" s="18" t="s">
        <v>38</v>
      </c>
      <c r="B5" s="18"/>
      <c r="C5" s="18" t="s">
        <v>39</v>
      </c>
      <c r="D5" s="18"/>
      <c r="E5" s="18" t="s">
        <v>40</v>
      </c>
      <c r="F5" s="18"/>
      <c r="G5" s="18" t="s">
        <v>41</v>
      </c>
      <c r="H5" s="18"/>
    </row>
    <row r="6" customFormat="false" ht="27.75" hidden="false" customHeight="true" outlineLevel="0" collapsed="false">
      <c r="A6" s="19" t="n">
        <f aca="false">SUM(Tracker!$I$5:$I$204)</f>
        <v>165000</v>
      </c>
      <c r="B6" s="19"/>
      <c r="C6" s="19" t="n">
        <f aca="false">SUM(Tracker!$K$5:$K$204)</f>
        <v>45000</v>
      </c>
      <c r="D6" s="19"/>
      <c r="E6" s="19" t="n">
        <f aca="false">SUMIFS(Tracker!$M$5:$M$204,Tracker!$N$5:$N$204,"&lt;&gt;Paid")</f>
        <v>120000</v>
      </c>
      <c r="F6" s="19"/>
      <c r="G6" s="20" t="n">
        <f aca="false">SUMIFS(Tracker!$M$5:$M$204,Tracker!$N$5:$N$204,"Overdue")</f>
        <v>30000</v>
      </c>
      <c r="H6" s="20"/>
    </row>
    <row r="9" customFormat="false" ht="15" hidden="false" customHeight="false" outlineLevel="0" collapsed="false">
      <c r="A9" s="21" t="s">
        <v>42</v>
      </c>
      <c r="J9" s="21" t="s">
        <v>43</v>
      </c>
    </row>
    <row r="10" customFormat="false" ht="30" hidden="false" customHeight="true" outlineLevel="0" collapsed="false">
      <c r="A10" s="5" t="s">
        <v>6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48</v>
      </c>
      <c r="G10" s="5" t="s">
        <v>49</v>
      </c>
      <c r="H10" s="5" t="s">
        <v>50</v>
      </c>
      <c r="J10" s="5" t="s">
        <v>51</v>
      </c>
      <c r="K10" s="5" t="s">
        <v>44</v>
      </c>
      <c r="L10" s="5" t="s">
        <v>15</v>
      </c>
    </row>
    <row r="11" customFormat="false" ht="15" hidden="false" customHeight="false" outlineLevel="0" collapsed="false">
      <c r="A11" s="22" t="str">
        <f aca="false">IF(Settings!$A$5="","",Settings!$A$5)</f>
        <v>Consulting / Advisory</v>
      </c>
      <c r="B11" s="23" t="n">
        <f aca="false">IF(A11="","",COUNTIFS(Tracker!$D$5:$D$204,A11,Tracker!$B$5:$B$204,"&lt;&gt;"))</f>
        <v>1</v>
      </c>
      <c r="C11" s="24" t="n">
        <f aca="false">IF(A11="","",SUMIFS(Tracker!$I$5:$I$204,Tracker!$D$5:$D$204,A11))</f>
        <v>80000</v>
      </c>
      <c r="D11" s="24" t="n">
        <f aca="false">IF(A11="","",SUMIFS(Tracker!$K$5:$K$204,Tracker!$D$5:$D$204,A11))</f>
        <v>0</v>
      </c>
      <c r="E11" s="24" t="n">
        <f aca="false">IF(A11="","",SUMIFS(Tracker!$M$5:$M$204,Tracker!$D$5:$D$204,A11,Tracker!$N$5:$N$204,"&lt;&gt;Paid"))</f>
        <v>80000</v>
      </c>
      <c r="F11" s="24" t="n">
        <f aca="false">IF(A11="","",SUMIFS(Tracker!$M$5:$M$204,Tracker!$D$5:$D$204,A11,Tracker!$N$5:$N$204,"Overdue"))</f>
        <v>0</v>
      </c>
      <c r="G11" s="23" t="n">
        <f aca="false">IF(A11="","",COUNTIFS(Tracker!$D$5:$D$204,A11,Tracker!$N$5:$N$204,"Overdue"))</f>
        <v>0</v>
      </c>
      <c r="H11" s="25" t="str">
        <f aca="false">IF(A11="","",IFERROR(AVERAGEIFS(Tracker!$P$5:$P$204,Tracker!$D$5:$D$204,A11,Tracker!$N$5:$N$204,"Paid"),"-"))</f>
        <v>-</v>
      </c>
      <c r="J11" s="26" t="s">
        <v>52</v>
      </c>
      <c r="K11" s="27" t="n">
        <f aca="false">COUNTIFS(Tracker!$N$5:$N$204,J11)</f>
        <v>1</v>
      </c>
      <c r="L11" s="28" t="n">
        <f aca="false">SUMIFS(Tracker!$M$5:$M$204,Tracker!$N$5:$N$204,J11)</f>
        <v>30000</v>
      </c>
    </row>
    <row r="12" customFormat="false" ht="15" hidden="false" customHeight="false" outlineLevel="0" collapsed="false">
      <c r="A12" s="22" t="str">
        <f aca="false">IF(Settings!$A$6="","",Settings!$A$6)</f>
        <v>Event Hosting / Emcee</v>
      </c>
      <c r="B12" s="23" t="n">
        <f aca="false">IF(A12="","",COUNTIFS(Tracker!$D$5:$D$204,A12,Tracker!$B$5:$B$204,"&lt;&gt;"))</f>
        <v>1</v>
      </c>
      <c r="C12" s="24" t="n">
        <f aca="false">IF(A12="","",SUMIFS(Tracker!$I$5:$I$204,Tracker!$D$5:$D$204,A12))</f>
        <v>15000</v>
      </c>
      <c r="D12" s="24" t="n">
        <f aca="false">IF(A12="","",SUMIFS(Tracker!$K$5:$K$204,Tracker!$D$5:$D$204,A12))</f>
        <v>15000</v>
      </c>
      <c r="E12" s="24" t="n">
        <f aca="false">IF(A12="","",SUMIFS(Tracker!$M$5:$M$204,Tracker!$D$5:$D$204,A12,Tracker!$N$5:$N$204,"&lt;&gt;Paid"))</f>
        <v>0</v>
      </c>
      <c r="F12" s="24" t="n">
        <f aca="false">IF(A12="","",SUMIFS(Tracker!$M$5:$M$204,Tracker!$D$5:$D$204,A12,Tracker!$N$5:$N$204,"Overdue"))</f>
        <v>0</v>
      </c>
      <c r="G12" s="23" t="n">
        <f aca="false">IF(A12="","",COUNTIFS(Tracker!$D$5:$D$204,A12,Tracker!$N$5:$N$204,"Overdue"))</f>
        <v>0</v>
      </c>
      <c r="H12" s="25" t="n">
        <f aca="false">IF(A12="","",IFERROR(AVERAGEIFS(Tracker!$P$5:$P$204,Tracker!$D$5:$D$204,A12,Tracker!$N$5:$N$204,"Paid"),"-"))</f>
        <v>14</v>
      </c>
      <c r="J12" s="29" t="s">
        <v>53</v>
      </c>
      <c r="K12" s="27" t="n">
        <f aca="false">COUNTIFS(Tracker!$N$5:$N$204,J12)</f>
        <v>1</v>
      </c>
      <c r="L12" s="28" t="n">
        <f aca="false">SUMIFS(Tracker!$M$5:$M$204,Tracker!$N$5:$N$204,J12)</f>
        <v>10000</v>
      </c>
    </row>
    <row r="13" customFormat="false" ht="15" hidden="false" customHeight="false" outlineLevel="0" collapsed="false">
      <c r="A13" s="22" t="str">
        <f aca="false">IF(Settings!$A$7="","",Settings!$A$7)</f>
        <v>Speaking / Resource Person</v>
      </c>
      <c r="B13" s="23" t="n">
        <f aca="false">IF(A13="","",COUNTIFS(Tracker!$D$5:$D$204,A13,Tracker!$B$5:$B$204,"&lt;&gt;"))</f>
        <v>1</v>
      </c>
      <c r="C13" s="24" t="n">
        <f aca="false">IF(A13="","",SUMIFS(Tracker!$I$5:$I$204,Tracker!$D$5:$D$204,A13))</f>
        <v>10000</v>
      </c>
      <c r="D13" s="24" t="n">
        <f aca="false">IF(A13="","",SUMIFS(Tracker!$K$5:$K$204,Tracker!$D$5:$D$204,A13))</f>
        <v>0</v>
      </c>
      <c r="E13" s="24" t="n">
        <f aca="false">IF(A13="","",SUMIFS(Tracker!$M$5:$M$204,Tracker!$D$5:$D$204,A13,Tracker!$N$5:$N$204,"&lt;&gt;Paid"))</f>
        <v>10000</v>
      </c>
      <c r="F13" s="24" t="n">
        <f aca="false">IF(A13="","",SUMIFS(Tracker!$M$5:$M$204,Tracker!$D$5:$D$204,A13,Tracker!$N$5:$N$204,"Overdue"))</f>
        <v>0</v>
      </c>
      <c r="G13" s="23" t="n">
        <f aca="false">IF(A13="","",COUNTIFS(Tracker!$D$5:$D$204,A13,Tracker!$N$5:$N$204,"Overdue"))</f>
        <v>0</v>
      </c>
      <c r="H13" s="25" t="str">
        <f aca="false">IF(A13="","",IFERROR(AVERAGEIFS(Tracker!$P$5:$P$204,Tracker!$D$5:$D$204,A13,Tracker!$N$5:$N$204,"Paid"),"-"))</f>
        <v>-</v>
      </c>
      <c r="J13" s="30" t="s">
        <v>54</v>
      </c>
      <c r="K13" s="27" t="n">
        <f aca="false">COUNTIFS(Tracker!$N$5:$N$204,J13)</f>
        <v>0</v>
      </c>
      <c r="L13" s="28" t="n">
        <f aca="false">SUMIFS(Tracker!$M$5:$M$204,Tracker!$N$5:$N$204,J13)</f>
        <v>0</v>
      </c>
    </row>
    <row r="14" customFormat="false" ht="15" hidden="false" customHeight="false" outlineLevel="0" collapsed="false">
      <c r="A14" s="22" t="str">
        <f aca="false">IF(Settings!$A$8="","",Settings!$A$8)</f>
        <v>Training / Workshop</v>
      </c>
      <c r="B14" s="23" t="n">
        <f aca="false">IF(A14="","",COUNTIFS(Tracker!$D$5:$D$204,A14,Tracker!$B$5:$B$204,"&lt;&gt;"))</f>
        <v>0</v>
      </c>
      <c r="C14" s="24" t="n">
        <f aca="false">IF(A14="","",SUMIFS(Tracker!$I$5:$I$204,Tracker!$D$5:$D$204,A14))</f>
        <v>0</v>
      </c>
      <c r="D14" s="24" t="n">
        <f aca="false">IF(A14="","",SUMIFS(Tracker!$K$5:$K$204,Tracker!$D$5:$D$204,A14))</f>
        <v>0</v>
      </c>
      <c r="E14" s="24" t="n">
        <f aca="false">IF(A14="","",SUMIFS(Tracker!$M$5:$M$204,Tracker!$D$5:$D$204,A14,Tracker!$N$5:$N$204,"&lt;&gt;Paid"))</f>
        <v>0</v>
      </c>
      <c r="F14" s="24" t="n">
        <f aca="false">IF(A14="","",SUMIFS(Tracker!$M$5:$M$204,Tracker!$D$5:$D$204,A14,Tracker!$N$5:$N$204,"Overdue"))</f>
        <v>0</v>
      </c>
      <c r="G14" s="23" t="n">
        <f aca="false">IF(A14="","",COUNTIFS(Tracker!$D$5:$D$204,A14,Tracker!$N$5:$N$204,"Overdue"))</f>
        <v>0</v>
      </c>
      <c r="H14" s="25" t="str">
        <f aca="false">IF(A14="","",IFERROR(AVERAGEIFS(Tracker!$P$5:$P$204,Tracker!$D$5:$D$204,A14,Tracker!$N$5:$N$204,"Paid"),"-"))</f>
        <v>-</v>
      </c>
      <c r="J14" s="31" t="s">
        <v>55</v>
      </c>
      <c r="K14" s="27" t="n">
        <f aca="false">COUNTIFS(Tracker!$N$5:$N$204,J14)</f>
        <v>1</v>
      </c>
      <c r="L14" s="28" t="n">
        <f aca="false">SUMIFS(Tracker!$M$5:$M$204,Tracker!$N$5:$N$204,J14)</f>
        <v>80000</v>
      </c>
    </row>
    <row r="15" customFormat="false" ht="15" hidden="false" customHeight="false" outlineLevel="0" collapsed="false">
      <c r="A15" s="22" t="str">
        <f aca="false">IF(Settings!$A$9="","",Settings!$A$9)</f>
        <v>Research / Writing</v>
      </c>
      <c r="B15" s="23" t="n">
        <f aca="false">IF(A15="","",COUNTIFS(Tracker!$D$5:$D$204,A15,Tracker!$B$5:$B$204,"&lt;&gt;"))</f>
        <v>1</v>
      </c>
      <c r="C15" s="24" t="n">
        <f aca="false">IF(A15="","",SUMIFS(Tracker!$I$5:$I$204,Tracker!$D$5:$D$204,A15))</f>
        <v>60000</v>
      </c>
      <c r="D15" s="24" t="n">
        <f aca="false">IF(A15="","",SUMIFS(Tracker!$K$5:$K$204,Tracker!$D$5:$D$204,A15))</f>
        <v>30000</v>
      </c>
      <c r="E15" s="24" t="n">
        <f aca="false">IF(A15="","",SUMIFS(Tracker!$M$5:$M$204,Tracker!$D$5:$D$204,A15,Tracker!$N$5:$N$204,"&lt;&gt;Paid"))</f>
        <v>30000</v>
      </c>
      <c r="F15" s="24" t="n">
        <f aca="false">IF(A15="","",SUMIFS(Tracker!$M$5:$M$204,Tracker!$D$5:$D$204,A15,Tracker!$N$5:$N$204,"Overdue"))</f>
        <v>30000</v>
      </c>
      <c r="G15" s="23" t="n">
        <f aca="false">IF(A15="","",COUNTIFS(Tracker!$D$5:$D$204,A15,Tracker!$N$5:$N$204,"Overdue"))</f>
        <v>1</v>
      </c>
      <c r="H15" s="25" t="str">
        <f aca="false">IF(A15="","",IFERROR(AVERAGEIFS(Tracker!$P$5:$P$204,Tracker!$D$5:$D$204,A15,Tracker!$N$5:$N$204,"Paid"),"-"))</f>
        <v>-</v>
      </c>
      <c r="J15" s="32" t="s">
        <v>56</v>
      </c>
      <c r="K15" s="27" t="n">
        <f aca="false">COUNTIFS(Tracker!$N$5:$N$204,J15)</f>
        <v>1</v>
      </c>
      <c r="L15" s="28" t="n">
        <f aca="false">SUMIFS(Tracker!$M$5:$M$204,Tracker!$N$5:$N$204,J15)</f>
        <v>0</v>
      </c>
    </row>
    <row r="16" customFormat="false" ht="15" hidden="false" customHeight="false" outlineLevel="0" collapsed="false">
      <c r="A16" s="22" t="str">
        <f aca="false">IF(Settings!$A$10="","",Settings!$A$10)</f>
        <v>Design / Creative</v>
      </c>
      <c r="B16" s="23" t="n">
        <f aca="false">IF(A16="","",COUNTIFS(Tracker!$D$5:$D$204,A16,Tracker!$B$5:$B$204,"&lt;&gt;"))</f>
        <v>0</v>
      </c>
      <c r="C16" s="24" t="n">
        <f aca="false">IF(A16="","",SUMIFS(Tracker!$I$5:$I$204,Tracker!$D$5:$D$204,A16))</f>
        <v>0</v>
      </c>
      <c r="D16" s="24" t="n">
        <f aca="false">IF(A16="","",SUMIFS(Tracker!$K$5:$K$204,Tracker!$D$5:$D$204,A16))</f>
        <v>0</v>
      </c>
      <c r="E16" s="24" t="n">
        <f aca="false">IF(A16="","",SUMIFS(Tracker!$M$5:$M$204,Tracker!$D$5:$D$204,A16,Tracker!$N$5:$N$204,"&lt;&gt;Paid"))</f>
        <v>0</v>
      </c>
      <c r="F16" s="24" t="n">
        <f aca="false">IF(A16="","",SUMIFS(Tracker!$M$5:$M$204,Tracker!$D$5:$D$204,A16,Tracker!$N$5:$N$204,"Overdue"))</f>
        <v>0</v>
      </c>
      <c r="G16" s="23" t="n">
        <f aca="false">IF(A16="","",COUNTIFS(Tracker!$D$5:$D$204,A16,Tracker!$N$5:$N$204,"Overdue"))</f>
        <v>0</v>
      </c>
      <c r="H16" s="25" t="str">
        <f aca="false">IF(A16="","",IFERROR(AVERAGEIFS(Tracker!$P$5:$P$204,Tracker!$D$5:$D$204,A16,Tracker!$N$5:$N$204,"Paid"),"-"))</f>
        <v>-</v>
      </c>
    </row>
    <row r="17" customFormat="false" ht="15" hidden="false" customHeight="false" outlineLevel="0" collapsed="false">
      <c r="A17" s="22" t="str">
        <f aca="false">IF(Settings!$A$11="","",Settings!$A$11)</f>
        <v>Other</v>
      </c>
      <c r="B17" s="23" t="n">
        <f aca="false">IF(A17="","",COUNTIFS(Tracker!$D$5:$D$204,A17,Tracker!$B$5:$B$204,"&lt;&gt;"))</f>
        <v>0</v>
      </c>
      <c r="C17" s="24" t="n">
        <f aca="false">IF(A17="","",SUMIFS(Tracker!$I$5:$I$204,Tracker!$D$5:$D$204,A17))</f>
        <v>0</v>
      </c>
      <c r="D17" s="24" t="n">
        <f aca="false">IF(A17="","",SUMIFS(Tracker!$K$5:$K$204,Tracker!$D$5:$D$204,A17))</f>
        <v>0</v>
      </c>
      <c r="E17" s="24" t="n">
        <f aca="false">IF(A17="","",SUMIFS(Tracker!$M$5:$M$204,Tracker!$D$5:$D$204,A17,Tracker!$N$5:$N$204,"&lt;&gt;Paid"))</f>
        <v>0</v>
      </c>
      <c r="F17" s="24" t="n">
        <f aca="false">IF(A17="","",SUMIFS(Tracker!$M$5:$M$204,Tracker!$D$5:$D$204,A17,Tracker!$N$5:$N$204,"Overdue"))</f>
        <v>0</v>
      </c>
      <c r="G17" s="23" t="n">
        <f aca="false">IF(A17="","",COUNTIFS(Tracker!$D$5:$D$204,A17,Tracker!$N$5:$N$204,"Overdue"))</f>
        <v>0</v>
      </c>
      <c r="H17" s="25" t="str">
        <f aca="false">IF(A17="","",IFERROR(AVERAGEIFS(Tracker!$P$5:$P$204,Tracker!$D$5:$D$204,A17,Tracker!$N$5:$N$204,"Paid"),"-"))</f>
        <v>-</v>
      </c>
    </row>
    <row r="18" customFormat="false" ht="15" hidden="false" customHeight="false" outlineLevel="0" collapsed="false">
      <c r="A18" s="22" t="str">
        <f aca="false">IF(Settings!$A$12="","",Settings!$A$12)</f>
        <v/>
      </c>
      <c r="B18" s="23" t="str">
        <f aca="false">IF(A18="","",COUNTIFS(Tracker!$D$5:$D$204,A18,Tracker!$B$5:$B$204,"&lt;&gt;"))</f>
        <v/>
      </c>
      <c r="C18" s="24" t="str">
        <f aca="false">IF(A18="","",SUMIFS(Tracker!$I$5:$I$204,Tracker!$D$5:$D$204,A18))</f>
        <v/>
      </c>
      <c r="D18" s="24" t="str">
        <f aca="false">IF(A18="","",SUMIFS(Tracker!$K$5:$K$204,Tracker!$D$5:$D$204,A18))</f>
        <v/>
      </c>
      <c r="E18" s="24" t="str">
        <f aca="false">IF(A18="","",SUMIFS(Tracker!$M$5:$M$204,Tracker!$D$5:$D$204,A18,Tracker!$N$5:$N$204,"&lt;&gt;Paid"))</f>
        <v/>
      </c>
      <c r="F18" s="24" t="str">
        <f aca="false">IF(A18="","",SUMIFS(Tracker!$M$5:$M$204,Tracker!$D$5:$D$204,A18,Tracker!$N$5:$N$204,"Overdue"))</f>
        <v/>
      </c>
      <c r="G18" s="23" t="str">
        <f aca="false">IF(A18="","",COUNTIFS(Tracker!$D$5:$D$204,A18,Tracker!$N$5:$N$204,"Overdue"))</f>
        <v/>
      </c>
      <c r="H18" s="25" t="str">
        <f aca="false">IF(A18="","",IFERROR(AVERAGEIFS(Tracker!$P$5:$P$204,Tracker!$D$5:$D$204,A18,Tracker!$N$5:$N$204,"Paid"),"-"))</f>
        <v/>
      </c>
    </row>
    <row r="19" customFormat="false" ht="15" hidden="false" customHeight="false" outlineLevel="0" collapsed="false">
      <c r="A19" s="22" t="str">
        <f aca="false">IF(Settings!$A$13="","",Settings!$A$13)</f>
        <v/>
      </c>
      <c r="B19" s="23" t="str">
        <f aca="false">IF(A19="","",COUNTIFS(Tracker!$D$5:$D$204,A19,Tracker!$B$5:$B$204,"&lt;&gt;"))</f>
        <v/>
      </c>
      <c r="C19" s="24" t="str">
        <f aca="false">IF(A19="","",SUMIFS(Tracker!$I$5:$I$204,Tracker!$D$5:$D$204,A19))</f>
        <v/>
      </c>
      <c r="D19" s="24" t="str">
        <f aca="false">IF(A19="","",SUMIFS(Tracker!$K$5:$K$204,Tracker!$D$5:$D$204,A19))</f>
        <v/>
      </c>
      <c r="E19" s="24" t="str">
        <f aca="false">IF(A19="","",SUMIFS(Tracker!$M$5:$M$204,Tracker!$D$5:$D$204,A19,Tracker!$N$5:$N$204,"&lt;&gt;Paid"))</f>
        <v/>
      </c>
      <c r="F19" s="24" t="str">
        <f aca="false">IF(A19="","",SUMIFS(Tracker!$M$5:$M$204,Tracker!$D$5:$D$204,A19,Tracker!$N$5:$N$204,"Overdue"))</f>
        <v/>
      </c>
      <c r="G19" s="23" t="str">
        <f aca="false">IF(A19="","",COUNTIFS(Tracker!$D$5:$D$204,A19,Tracker!$N$5:$N$204,"Overdue"))</f>
        <v/>
      </c>
      <c r="H19" s="25" t="str">
        <f aca="false">IF(A19="","",IFERROR(AVERAGEIFS(Tracker!$P$5:$P$204,Tracker!$D$5:$D$204,A19,Tracker!$N$5:$N$204,"Paid"),"-"))</f>
        <v/>
      </c>
    </row>
    <row r="20" customFormat="false" ht="15" hidden="false" customHeight="false" outlineLevel="0" collapsed="false">
      <c r="A20" s="22" t="str">
        <f aca="false">IF(Settings!$A$14="","",Settings!$A$14)</f>
        <v/>
      </c>
      <c r="B20" s="23" t="str">
        <f aca="false">IF(A20="","",COUNTIFS(Tracker!$D$5:$D$204,A20,Tracker!$B$5:$B$204,"&lt;&gt;"))</f>
        <v/>
      </c>
      <c r="C20" s="24" t="str">
        <f aca="false">IF(A20="","",SUMIFS(Tracker!$I$5:$I$204,Tracker!$D$5:$D$204,A20))</f>
        <v/>
      </c>
      <c r="D20" s="24" t="str">
        <f aca="false">IF(A20="","",SUMIFS(Tracker!$K$5:$K$204,Tracker!$D$5:$D$204,A20))</f>
        <v/>
      </c>
      <c r="E20" s="24" t="str">
        <f aca="false">IF(A20="","",SUMIFS(Tracker!$M$5:$M$204,Tracker!$D$5:$D$204,A20,Tracker!$N$5:$N$204,"&lt;&gt;Paid"))</f>
        <v/>
      </c>
      <c r="F20" s="24" t="str">
        <f aca="false">IF(A20="","",SUMIFS(Tracker!$M$5:$M$204,Tracker!$D$5:$D$204,A20,Tracker!$N$5:$N$204,"Overdue"))</f>
        <v/>
      </c>
      <c r="G20" s="23" t="str">
        <f aca="false">IF(A20="","",COUNTIFS(Tracker!$D$5:$D$204,A20,Tracker!$N$5:$N$204,"Overdue"))</f>
        <v/>
      </c>
      <c r="H20" s="25" t="str">
        <f aca="false">IF(A20="","",IFERROR(AVERAGEIFS(Tracker!$P$5:$P$204,Tracker!$D$5:$D$204,A20,Tracker!$N$5:$N$204,"Paid"),"-"))</f>
        <v/>
      </c>
    </row>
    <row r="21" customFormat="false" ht="15" hidden="false" customHeight="false" outlineLevel="0" collapsed="false">
      <c r="A21" s="22" t="str">
        <f aca="false">IF(Settings!$A$15="","",Settings!$A$15)</f>
        <v/>
      </c>
      <c r="B21" s="23" t="str">
        <f aca="false">IF(A21="","",COUNTIFS(Tracker!$D$5:$D$204,A21,Tracker!$B$5:$B$204,"&lt;&gt;"))</f>
        <v/>
      </c>
      <c r="C21" s="24" t="str">
        <f aca="false">IF(A21="","",SUMIFS(Tracker!$I$5:$I$204,Tracker!$D$5:$D$204,A21))</f>
        <v/>
      </c>
      <c r="D21" s="24" t="str">
        <f aca="false">IF(A21="","",SUMIFS(Tracker!$K$5:$K$204,Tracker!$D$5:$D$204,A21))</f>
        <v/>
      </c>
      <c r="E21" s="24" t="str">
        <f aca="false">IF(A21="","",SUMIFS(Tracker!$M$5:$M$204,Tracker!$D$5:$D$204,A21,Tracker!$N$5:$N$204,"&lt;&gt;Paid"))</f>
        <v/>
      </c>
      <c r="F21" s="24" t="str">
        <f aca="false">IF(A21="","",SUMIFS(Tracker!$M$5:$M$204,Tracker!$D$5:$D$204,A21,Tracker!$N$5:$N$204,"Overdue"))</f>
        <v/>
      </c>
      <c r="G21" s="23" t="str">
        <f aca="false">IF(A21="","",COUNTIFS(Tracker!$D$5:$D$204,A21,Tracker!$N$5:$N$204,"Overdue"))</f>
        <v/>
      </c>
      <c r="H21" s="25" t="str">
        <f aca="false">IF(A21="","",IFERROR(AVERAGEIFS(Tracker!$P$5:$P$204,Tracker!$D$5:$D$204,A21,Tracker!$N$5:$N$204,"Paid"),"-"))</f>
        <v/>
      </c>
    </row>
    <row r="22" customFormat="false" ht="15" hidden="false" customHeight="false" outlineLevel="0" collapsed="false">
      <c r="A22" s="22" t="str">
        <f aca="false">IF(Settings!$A$16="","",Settings!$A$16)</f>
        <v/>
      </c>
      <c r="B22" s="23" t="str">
        <f aca="false">IF(A22="","",COUNTIFS(Tracker!$D$5:$D$204,A22,Tracker!$B$5:$B$204,"&lt;&gt;"))</f>
        <v/>
      </c>
      <c r="C22" s="24" t="str">
        <f aca="false">IF(A22="","",SUMIFS(Tracker!$I$5:$I$204,Tracker!$D$5:$D$204,A22))</f>
        <v/>
      </c>
      <c r="D22" s="24" t="str">
        <f aca="false">IF(A22="","",SUMIFS(Tracker!$K$5:$K$204,Tracker!$D$5:$D$204,A22))</f>
        <v/>
      </c>
      <c r="E22" s="24" t="str">
        <f aca="false">IF(A22="","",SUMIFS(Tracker!$M$5:$M$204,Tracker!$D$5:$D$204,A22,Tracker!$N$5:$N$204,"&lt;&gt;Paid"))</f>
        <v/>
      </c>
      <c r="F22" s="24" t="str">
        <f aca="false">IF(A22="","",SUMIFS(Tracker!$M$5:$M$204,Tracker!$D$5:$D$204,A22,Tracker!$N$5:$N$204,"Overdue"))</f>
        <v/>
      </c>
      <c r="G22" s="23" t="str">
        <f aca="false">IF(A22="","",COUNTIFS(Tracker!$D$5:$D$204,A22,Tracker!$N$5:$N$204,"Overdue"))</f>
        <v/>
      </c>
      <c r="H22" s="25" t="str">
        <f aca="false">IF(A22="","",IFERROR(AVERAGEIFS(Tracker!$P$5:$P$204,Tracker!$D$5:$D$204,A22,Tracker!$N$5:$N$204,"Paid"),"-"))</f>
        <v/>
      </c>
    </row>
    <row r="23" customFormat="false" ht="15" hidden="false" customHeight="false" outlineLevel="0" collapsed="false">
      <c r="A23" s="22" t="str">
        <f aca="false">IF(Settings!$A$17="","",Settings!$A$17)</f>
        <v/>
      </c>
      <c r="B23" s="23" t="str">
        <f aca="false">IF(A23="","",COUNTIFS(Tracker!$D$5:$D$204,A23,Tracker!$B$5:$B$204,"&lt;&gt;"))</f>
        <v/>
      </c>
      <c r="C23" s="24" t="str">
        <f aca="false">IF(A23="","",SUMIFS(Tracker!$I$5:$I$204,Tracker!$D$5:$D$204,A23))</f>
        <v/>
      </c>
      <c r="D23" s="24" t="str">
        <f aca="false">IF(A23="","",SUMIFS(Tracker!$K$5:$K$204,Tracker!$D$5:$D$204,A23))</f>
        <v/>
      </c>
      <c r="E23" s="24" t="str">
        <f aca="false">IF(A23="","",SUMIFS(Tracker!$M$5:$M$204,Tracker!$D$5:$D$204,A23,Tracker!$N$5:$N$204,"&lt;&gt;Paid"))</f>
        <v/>
      </c>
      <c r="F23" s="24" t="str">
        <f aca="false">IF(A23="","",SUMIFS(Tracker!$M$5:$M$204,Tracker!$D$5:$D$204,A23,Tracker!$N$5:$N$204,"Overdue"))</f>
        <v/>
      </c>
      <c r="G23" s="23" t="str">
        <f aca="false">IF(A23="","",COUNTIFS(Tracker!$D$5:$D$204,A23,Tracker!$N$5:$N$204,"Overdue"))</f>
        <v/>
      </c>
      <c r="H23" s="25" t="str">
        <f aca="false">IF(A23="","",IFERROR(AVERAGEIFS(Tracker!$P$5:$P$204,Tracker!$D$5:$D$204,A23,Tracker!$N$5:$N$204,"Paid"),"-"))</f>
        <v/>
      </c>
    </row>
    <row r="24" customFormat="false" ht="15" hidden="false" customHeight="false" outlineLevel="0" collapsed="false">
      <c r="A24" s="22" t="str">
        <f aca="false">IF(Settings!$A$18="","",Settings!$A$18)</f>
        <v/>
      </c>
      <c r="B24" s="23" t="str">
        <f aca="false">IF(A24="","",COUNTIFS(Tracker!$D$5:$D$204,A24,Tracker!$B$5:$B$204,"&lt;&gt;"))</f>
        <v/>
      </c>
      <c r="C24" s="24" t="str">
        <f aca="false">IF(A24="","",SUMIFS(Tracker!$I$5:$I$204,Tracker!$D$5:$D$204,A24))</f>
        <v/>
      </c>
      <c r="D24" s="24" t="str">
        <f aca="false">IF(A24="","",SUMIFS(Tracker!$K$5:$K$204,Tracker!$D$5:$D$204,A24))</f>
        <v/>
      </c>
      <c r="E24" s="24" t="str">
        <f aca="false">IF(A24="","",SUMIFS(Tracker!$M$5:$M$204,Tracker!$D$5:$D$204,A24,Tracker!$N$5:$N$204,"&lt;&gt;Paid"))</f>
        <v/>
      </c>
      <c r="F24" s="24" t="str">
        <f aca="false">IF(A24="","",SUMIFS(Tracker!$M$5:$M$204,Tracker!$D$5:$D$204,A24,Tracker!$N$5:$N$204,"Overdue"))</f>
        <v/>
      </c>
      <c r="G24" s="23" t="str">
        <f aca="false">IF(A24="","",COUNTIFS(Tracker!$D$5:$D$204,A24,Tracker!$N$5:$N$204,"Overdue"))</f>
        <v/>
      </c>
      <c r="H24" s="25" t="str">
        <f aca="false">IF(A24="","",IFERROR(AVERAGEIFS(Tracker!$P$5:$P$204,Tracker!$D$5:$D$204,A24,Tracker!$N$5:$N$204,"Paid"),"-"))</f>
        <v/>
      </c>
    </row>
    <row r="25" customFormat="false" ht="15" hidden="false" customHeight="false" outlineLevel="0" collapsed="false">
      <c r="A25" s="22" t="str">
        <f aca="false">IF(Settings!$A$19="","",Settings!$A$19)</f>
        <v/>
      </c>
      <c r="B25" s="23" t="str">
        <f aca="false">IF(A25="","",COUNTIFS(Tracker!$D$5:$D$204,A25,Tracker!$B$5:$B$204,"&lt;&gt;"))</f>
        <v/>
      </c>
      <c r="C25" s="24" t="str">
        <f aca="false">IF(A25="","",SUMIFS(Tracker!$I$5:$I$204,Tracker!$D$5:$D$204,A25))</f>
        <v/>
      </c>
      <c r="D25" s="24" t="str">
        <f aca="false">IF(A25="","",SUMIFS(Tracker!$K$5:$K$204,Tracker!$D$5:$D$204,A25))</f>
        <v/>
      </c>
      <c r="E25" s="24" t="str">
        <f aca="false">IF(A25="","",SUMIFS(Tracker!$M$5:$M$204,Tracker!$D$5:$D$204,A25,Tracker!$N$5:$N$204,"&lt;&gt;Paid"))</f>
        <v/>
      </c>
      <c r="F25" s="24" t="str">
        <f aca="false">IF(A25="","",SUMIFS(Tracker!$M$5:$M$204,Tracker!$D$5:$D$204,A25,Tracker!$N$5:$N$204,"Overdue"))</f>
        <v/>
      </c>
      <c r="G25" s="23" t="str">
        <f aca="false">IF(A25="","",COUNTIFS(Tracker!$D$5:$D$204,A25,Tracker!$N$5:$N$204,"Overdue"))</f>
        <v/>
      </c>
      <c r="H25" s="25" t="str">
        <f aca="false">IF(A25="","",IFERROR(AVERAGEIFS(Tracker!$P$5:$P$204,Tracker!$D$5:$D$204,A25,Tracker!$N$5:$N$204,"Paid"),"-"))</f>
        <v/>
      </c>
    </row>
    <row r="26" customFormat="false" ht="15" hidden="false" customHeight="false" outlineLevel="0" collapsed="false">
      <c r="A26" s="22" t="str">
        <f aca="false">IF(Settings!$A$20="","",Settings!$A$20)</f>
        <v/>
      </c>
      <c r="B26" s="23" t="str">
        <f aca="false">IF(A26="","",COUNTIFS(Tracker!$D$5:$D$204,A26,Tracker!$B$5:$B$204,"&lt;&gt;"))</f>
        <v/>
      </c>
      <c r="C26" s="24" t="str">
        <f aca="false">IF(A26="","",SUMIFS(Tracker!$I$5:$I$204,Tracker!$D$5:$D$204,A26))</f>
        <v/>
      </c>
      <c r="D26" s="24" t="str">
        <f aca="false">IF(A26="","",SUMIFS(Tracker!$K$5:$K$204,Tracker!$D$5:$D$204,A26))</f>
        <v/>
      </c>
      <c r="E26" s="24" t="str">
        <f aca="false">IF(A26="","",SUMIFS(Tracker!$M$5:$M$204,Tracker!$D$5:$D$204,A26,Tracker!$N$5:$N$204,"&lt;&gt;Paid"))</f>
        <v/>
      </c>
      <c r="F26" s="24" t="str">
        <f aca="false">IF(A26="","",SUMIFS(Tracker!$M$5:$M$204,Tracker!$D$5:$D$204,A26,Tracker!$N$5:$N$204,"Overdue"))</f>
        <v/>
      </c>
      <c r="G26" s="23" t="str">
        <f aca="false">IF(A26="","",COUNTIFS(Tracker!$D$5:$D$204,A26,Tracker!$N$5:$N$204,"Overdue"))</f>
        <v/>
      </c>
      <c r="H26" s="25" t="str">
        <f aca="false">IF(A26="","",IFERROR(AVERAGEIFS(Tracker!$P$5:$P$204,Tracker!$D$5:$D$204,A26,Tracker!$N$5:$N$204,"Paid"),"-"))</f>
        <v/>
      </c>
    </row>
    <row r="27" customFormat="false" ht="15" hidden="false" customHeight="false" outlineLevel="0" collapsed="false">
      <c r="A27" s="22" t="str">
        <f aca="false">IF(Settings!$A$21="","",Settings!$A$21)</f>
        <v/>
      </c>
      <c r="B27" s="23" t="str">
        <f aca="false">IF(A27="","",COUNTIFS(Tracker!$D$5:$D$204,A27,Tracker!$B$5:$B$204,"&lt;&gt;"))</f>
        <v/>
      </c>
      <c r="C27" s="24" t="str">
        <f aca="false">IF(A27="","",SUMIFS(Tracker!$I$5:$I$204,Tracker!$D$5:$D$204,A27))</f>
        <v/>
      </c>
      <c r="D27" s="24" t="str">
        <f aca="false">IF(A27="","",SUMIFS(Tracker!$K$5:$K$204,Tracker!$D$5:$D$204,A27))</f>
        <v/>
      </c>
      <c r="E27" s="24" t="str">
        <f aca="false">IF(A27="","",SUMIFS(Tracker!$M$5:$M$204,Tracker!$D$5:$D$204,A27,Tracker!$N$5:$N$204,"&lt;&gt;Paid"))</f>
        <v/>
      </c>
      <c r="F27" s="24" t="str">
        <f aca="false">IF(A27="","",SUMIFS(Tracker!$M$5:$M$204,Tracker!$D$5:$D$204,A27,Tracker!$N$5:$N$204,"Overdue"))</f>
        <v/>
      </c>
      <c r="G27" s="23" t="str">
        <f aca="false">IF(A27="","",COUNTIFS(Tracker!$D$5:$D$204,A27,Tracker!$N$5:$N$204,"Overdue"))</f>
        <v/>
      </c>
      <c r="H27" s="25" t="str">
        <f aca="false">IF(A27="","",IFERROR(AVERAGEIFS(Tracker!$P$5:$P$204,Tracker!$D$5:$D$204,A27,Tracker!$N$5:$N$204,"Paid"),"-"))</f>
        <v/>
      </c>
    </row>
    <row r="28" customFormat="false" ht="15" hidden="false" customHeight="false" outlineLevel="0" collapsed="false">
      <c r="A28" s="22" t="str">
        <f aca="false">IF(Settings!$A$22="","",Settings!$A$22)</f>
        <v/>
      </c>
      <c r="B28" s="23" t="str">
        <f aca="false">IF(A28="","",COUNTIFS(Tracker!$D$5:$D$204,A28,Tracker!$B$5:$B$204,"&lt;&gt;"))</f>
        <v/>
      </c>
      <c r="C28" s="24" t="str">
        <f aca="false">IF(A28="","",SUMIFS(Tracker!$I$5:$I$204,Tracker!$D$5:$D$204,A28))</f>
        <v/>
      </c>
      <c r="D28" s="24" t="str">
        <f aca="false">IF(A28="","",SUMIFS(Tracker!$K$5:$K$204,Tracker!$D$5:$D$204,A28))</f>
        <v/>
      </c>
      <c r="E28" s="24" t="str">
        <f aca="false">IF(A28="","",SUMIFS(Tracker!$M$5:$M$204,Tracker!$D$5:$D$204,A28,Tracker!$N$5:$N$204,"&lt;&gt;Paid"))</f>
        <v/>
      </c>
      <c r="F28" s="24" t="str">
        <f aca="false">IF(A28="","",SUMIFS(Tracker!$M$5:$M$204,Tracker!$D$5:$D$204,A28,Tracker!$N$5:$N$204,"Overdue"))</f>
        <v/>
      </c>
      <c r="G28" s="23" t="str">
        <f aca="false">IF(A28="","",COUNTIFS(Tracker!$D$5:$D$204,A28,Tracker!$N$5:$N$204,"Overdue"))</f>
        <v/>
      </c>
      <c r="H28" s="25" t="str">
        <f aca="false">IF(A28="","",IFERROR(AVERAGEIFS(Tracker!$P$5:$P$204,Tracker!$D$5:$D$204,A28,Tracker!$N$5:$N$204,"Paid"),"-"))</f>
        <v/>
      </c>
    </row>
    <row r="29" customFormat="false" ht="15" hidden="false" customHeight="false" outlineLevel="0" collapsed="false">
      <c r="A29" s="22" t="str">
        <f aca="false">IF(Settings!$A$23="","",Settings!$A$23)</f>
        <v/>
      </c>
      <c r="B29" s="23" t="str">
        <f aca="false">IF(A29="","",COUNTIFS(Tracker!$D$5:$D$204,A29,Tracker!$B$5:$B$204,"&lt;&gt;"))</f>
        <v/>
      </c>
      <c r="C29" s="24" t="str">
        <f aca="false">IF(A29="","",SUMIFS(Tracker!$I$5:$I$204,Tracker!$D$5:$D$204,A29))</f>
        <v/>
      </c>
      <c r="D29" s="24" t="str">
        <f aca="false">IF(A29="","",SUMIFS(Tracker!$K$5:$K$204,Tracker!$D$5:$D$204,A29))</f>
        <v/>
      </c>
      <c r="E29" s="24" t="str">
        <f aca="false">IF(A29="","",SUMIFS(Tracker!$M$5:$M$204,Tracker!$D$5:$D$204,A29,Tracker!$N$5:$N$204,"&lt;&gt;Paid"))</f>
        <v/>
      </c>
      <c r="F29" s="24" t="str">
        <f aca="false">IF(A29="","",SUMIFS(Tracker!$M$5:$M$204,Tracker!$D$5:$D$204,A29,Tracker!$N$5:$N$204,"Overdue"))</f>
        <v/>
      </c>
      <c r="G29" s="23" t="str">
        <f aca="false">IF(A29="","",COUNTIFS(Tracker!$D$5:$D$204,A29,Tracker!$N$5:$N$204,"Overdue"))</f>
        <v/>
      </c>
      <c r="H29" s="25" t="str">
        <f aca="false">IF(A29="","",IFERROR(AVERAGEIFS(Tracker!$P$5:$P$204,Tracker!$D$5:$D$204,A29,Tracker!$N$5:$N$204,"Paid"),"-"))</f>
        <v/>
      </c>
    </row>
    <row r="30" customFormat="false" ht="15" hidden="false" customHeight="false" outlineLevel="0" collapsed="false">
      <c r="A30" s="22" t="str">
        <f aca="false">IF(Settings!$A$24="","",Settings!$A$24)</f>
        <v/>
      </c>
      <c r="B30" s="23" t="str">
        <f aca="false">IF(A30="","",COUNTIFS(Tracker!$D$5:$D$204,A30,Tracker!$B$5:$B$204,"&lt;&gt;"))</f>
        <v/>
      </c>
      <c r="C30" s="24" t="str">
        <f aca="false">IF(A30="","",SUMIFS(Tracker!$I$5:$I$204,Tracker!$D$5:$D$204,A30))</f>
        <v/>
      </c>
      <c r="D30" s="24" t="str">
        <f aca="false">IF(A30="","",SUMIFS(Tracker!$K$5:$K$204,Tracker!$D$5:$D$204,A30))</f>
        <v/>
      </c>
      <c r="E30" s="24" t="str">
        <f aca="false">IF(A30="","",SUMIFS(Tracker!$M$5:$M$204,Tracker!$D$5:$D$204,A30,Tracker!$N$5:$N$204,"&lt;&gt;Paid"))</f>
        <v/>
      </c>
      <c r="F30" s="24" t="str">
        <f aca="false">IF(A30="","",SUMIFS(Tracker!$M$5:$M$204,Tracker!$D$5:$D$204,A30,Tracker!$N$5:$N$204,"Overdue"))</f>
        <v/>
      </c>
      <c r="G30" s="23" t="str">
        <f aca="false">IF(A30="","",COUNTIFS(Tracker!$D$5:$D$204,A30,Tracker!$N$5:$N$204,"Overdue"))</f>
        <v/>
      </c>
      <c r="H30" s="25" t="str">
        <f aca="false">IF(A30="","",IFERROR(AVERAGEIFS(Tracker!$P$5:$P$204,Tracker!$D$5:$D$204,A30,Tracker!$N$5:$N$204,"Paid"),"-"))</f>
        <v/>
      </c>
    </row>
    <row r="31" customFormat="false" ht="15" hidden="false" customHeight="false" outlineLevel="0" collapsed="false">
      <c r="A31" s="33" t="s">
        <v>57</v>
      </c>
      <c r="B31" s="34" t="n">
        <f aca="false">SUM(B11:B30)</f>
        <v>4</v>
      </c>
      <c r="C31" s="35" t="n">
        <f aca="false">SUM(C11:C30)</f>
        <v>165000</v>
      </c>
      <c r="D31" s="35" t="n">
        <f aca="false">SUM(D11:D30)</f>
        <v>45000</v>
      </c>
      <c r="E31" s="35" t="n">
        <f aca="false">SUM(E11:E30)</f>
        <v>120000</v>
      </c>
      <c r="F31" s="35" t="n">
        <f aca="false">SUM(F11:F30)</f>
        <v>30000</v>
      </c>
      <c r="G31" s="34" t="n">
        <f aca="false">SUM(G11:G30)</f>
        <v>1</v>
      </c>
      <c r="H31" s="36" t="n">
        <f aca="false">IFERROR(AVERAGEIFS(Tracker!$P$5:$P$204,Tracker!$N$5:$N$204,"Paid"),"-")</f>
        <v>14</v>
      </c>
    </row>
    <row r="32" customFormat="false" ht="15" hidden="false" customHeight="false" outlineLevel="0" collapsed="false">
      <c r="A32" s="2" t="s">
        <v>58</v>
      </c>
    </row>
  </sheetData>
  <mergeCells count="8">
    <mergeCell ref="A5:B5"/>
    <mergeCell ref="C5:D5"/>
    <mergeCell ref="E5:F5"/>
    <mergeCell ref="G5:H5"/>
    <mergeCell ref="A6:B6"/>
    <mergeCell ref="C6:D6"/>
    <mergeCell ref="E6:F6"/>
    <mergeCell ref="G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37" t="s">
        <v>59</v>
      </c>
    </row>
    <row r="2" customFormat="false" ht="15" hidden="false" customHeight="false" outlineLevel="0" collapsed="false">
      <c r="A2" s="2" t="s">
        <v>60</v>
      </c>
    </row>
    <row r="4" customFormat="false" ht="26.85" hidden="false" customHeight="false" outlineLevel="0" collapsed="false">
      <c r="A4" s="5" t="s">
        <v>6</v>
      </c>
      <c r="B4" s="5" t="s">
        <v>61</v>
      </c>
      <c r="C4" s="5" t="s">
        <v>62</v>
      </c>
      <c r="E4" s="38" t="s">
        <v>63</v>
      </c>
      <c r="F4" s="39"/>
    </row>
    <row r="5" customFormat="false" ht="15" hidden="false" customHeight="false" outlineLevel="0" collapsed="false">
      <c r="A5" s="40" t="s">
        <v>33</v>
      </c>
      <c r="B5" s="40" t="n">
        <v>30</v>
      </c>
      <c r="C5" s="40" t="s">
        <v>64</v>
      </c>
      <c r="E5" s="41" t="s">
        <v>65</v>
      </c>
      <c r="F5" s="40" t="n">
        <v>30</v>
      </c>
    </row>
    <row r="6" customFormat="false" ht="15" hidden="false" customHeight="false" outlineLevel="0" collapsed="false">
      <c r="A6" s="40" t="s">
        <v>22</v>
      </c>
      <c r="B6" s="40" t="n">
        <v>15</v>
      </c>
      <c r="C6" s="40" t="s">
        <v>66</v>
      </c>
      <c r="E6" s="41" t="s">
        <v>67</v>
      </c>
      <c r="F6" s="40" t="n">
        <v>7</v>
      </c>
    </row>
    <row r="7" customFormat="false" ht="15" hidden="false" customHeight="false" outlineLevel="0" collapsed="false">
      <c r="A7" s="40" t="s">
        <v>30</v>
      </c>
      <c r="B7" s="40" t="n">
        <v>15</v>
      </c>
      <c r="C7" s="40" t="s">
        <v>68</v>
      </c>
      <c r="E7" s="41" t="s">
        <v>69</v>
      </c>
      <c r="F7" s="42" t="n">
        <f aca="true">TODAY()</f>
        <v>46309</v>
      </c>
    </row>
    <row r="8" customFormat="false" ht="15" hidden="false" customHeight="false" outlineLevel="0" collapsed="false">
      <c r="A8" s="40" t="s">
        <v>70</v>
      </c>
      <c r="B8" s="40" t="n">
        <v>30</v>
      </c>
      <c r="C8" s="40" t="s">
        <v>71</v>
      </c>
    </row>
    <row r="9" customFormat="false" ht="15" hidden="false" customHeight="false" outlineLevel="0" collapsed="false">
      <c r="A9" s="40" t="s">
        <v>26</v>
      </c>
      <c r="B9" s="40" t="n">
        <v>30</v>
      </c>
      <c r="C9" s="40" t="s">
        <v>72</v>
      </c>
    </row>
    <row r="10" customFormat="false" ht="15" hidden="false" customHeight="false" outlineLevel="0" collapsed="false">
      <c r="A10" s="40" t="s">
        <v>73</v>
      </c>
      <c r="B10" s="40" t="n">
        <v>15</v>
      </c>
      <c r="C10" s="40" t="s">
        <v>74</v>
      </c>
    </row>
    <row r="11" customFormat="false" ht="15" hidden="false" customHeight="false" outlineLevel="0" collapsed="false">
      <c r="A11" s="40" t="s">
        <v>75</v>
      </c>
      <c r="B11" s="40" t="n">
        <v>30</v>
      </c>
      <c r="C11" s="40" t="s">
        <v>76</v>
      </c>
    </row>
    <row r="12" customFormat="false" ht="15" hidden="false" customHeight="false" outlineLevel="0" collapsed="false">
      <c r="A12" s="40"/>
      <c r="B12" s="40"/>
      <c r="C12" s="40"/>
    </row>
    <row r="13" customFormat="false" ht="15" hidden="false" customHeight="false" outlineLevel="0" collapsed="false">
      <c r="A13" s="40"/>
      <c r="B13" s="40"/>
      <c r="C13" s="40"/>
    </row>
    <row r="14" customFormat="false" ht="15" hidden="false" customHeight="false" outlineLevel="0" collapsed="false">
      <c r="A14" s="40"/>
      <c r="B14" s="40"/>
      <c r="C14" s="40"/>
    </row>
    <row r="15" customFormat="false" ht="15" hidden="false" customHeight="false" outlineLevel="0" collapsed="false">
      <c r="A15" s="40"/>
      <c r="B15" s="40"/>
      <c r="C15" s="40"/>
    </row>
    <row r="16" customFormat="false" ht="15" hidden="false" customHeight="false" outlineLevel="0" collapsed="false">
      <c r="A16" s="40"/>
      <c r="B16" s="40"/>
      <c r="C16" s="40"/>
    </row>
    <row r="17" customFormat="false" ht="15" hidden="false" customHeight="false" outlineLevel="0" collapsed="false">
      <c r="A17" s="40"/>
      <c r="B17" s="40"/>
      <c r="C17" s="40"/>
    </row>
    <row r="18" customFormat="false" ht="15" hidden="false" customHeight="false" outlineLevel="0" collapsed="false">
      <c r="A18" s="40"/>
      <c r="B18" s="40"/>
      <c r="C18" s="40"/>
    </row>
    <row r="19" customFormat="false" ht="15" hidden="false" customHeight="false" outlineLevel="0" collapsed="false">
      <c r="A19" s="40"/>
      <c r="B19" s="40"/>
      <c r="C19" s="40"/>
    </row>
    <row r="20" customFormat="false" ht="15" hidden="false" customHeight="false" outlineLevel="0" collapsed="false">
      <c r="A20" s="40"/>
      <c r="B20" s="40"/>
      <c r="C20" s="40"/>
    </row>
    <row r="21" customFormat="false" ht="15" hidden="false" customHeight="false" outlineLevel="0" collapsed="false">
      <c r="A21" s="40"/>
      <c r="B21" s="40"/>
      <c r="C21" s="40"/>
    </row>
    <row r="22" customFormat="false" ht="15" hidden="false" customHeight="false" outlineLevel="0" collapsed="false">
      <c r="A22" s="40"/>
      <c r="B22" s="40"/>
      <c r="C22" s="40"/>
    </row>
    <row r="23" customFormat="false" ht="15" hidden="false" customHeight="false" outlineLevel="0" collapsed="false">
      <c r="A23" s="40"/>
      <c r="B23" s="40"/>
      <c r="C23" s="40"/>
    </row>
    <row r="24" customFormat="false" ht="15" hidden="false" customHeight="false" outlineLevel="0" collapsed="false">
      <c r="A24" s="40"/>
      <c r="B24" s="40"/>
      <c r="C24" s="40"/>
    </row>
    <row r="25" customFormat="false" ht="15" hidden="false" customHeight="false" outlineLevel="0" collapsed="false">
      <c r="A25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78</v>
      </c>
    </row>
    <row r="3" customFormat="false" ht="45" hidden="false" customHeight="true" outlineLevel="0" collapsed="false">
      <c r="A3" s="43" t="s">
        <v>79</v>
      </c>
      <c r="B3" s="44" t="s">
        <v>80</v>
      </c>
    </row>
    <row r="4" customFormat="false" ht="45" hidden="false" customHeight="true" outlineLevel="0" collapsed="false">
      <c r="A4" s="43" t="s">
        <v>81</v>
      </c>
      <c r="B4" s="44" t="s">
        <v>82</v>
      </c>
    </row>
    <row r="5" customFormat="false" ht="45" hidden="false" customHeight="true" outlineLevel="0" collapsed="false">
      <c r="A5" s="43" t="s">
        <v>83</v>
      </c>
      <c r="B5" s="44" t="s">
        <v>84</v>
      </c>
    </row>
    <row r="6" customFormat="false" ht="45" hidden="false" customHeight="true" outlineLevel="0" collapsed="false">
      <c r="A6" s="43" t="s">
        <v>85</v>
      </c>
      <c r="B6" s="44" t="s">
        <v>86</v>
      </c>
    </row>
    <row r="7" customFormat="false" ht="45" hidden="false" customHeight="true" outlineLevel="0" collapsed="false">
      <c r="A7" s="43" t="s">
        <v>87</v>
      </c>
      <c r="B7" s="44" t="s">
        <v>88</v>
      </c>
    </row>
    <row r="8" customFormat="false" ht="45" hidden="false" customHeight="true" outlineLevel="0" collapsed="false">
      <c r="A8" s="43" t="s">
        <v>89</v>
      </c>
      <c r="B8" s="44" t="s">
        <v>90</v>
      </c>
    </row>
    <row r="9" customFormat="false" ht="45" hidden="false" customHeight="true" outlineLevel="0" collapsed="false">
      <c r="A9" s="43" t="s">
        <v>91</v>
      </c>
      <c r="B9" s="44" t="s">
        <v>92</v>
      </c>
    </row>
    <row r="10" customFormat="false" ht="45" hidden="false" customHeight="true" outlineLevel="0" collapsed="false">
      <c r="A10" s="43" t="s">
        <v>93</v>
      </c>
      <c r="B10" s="44" t="s">
        <v>94</v>
      </c>
    </row>
    <row r="11" customFormat="false" ht="45" hidden="false" customHeight="true" outlineLevel="0" collapsed="false">
      <c r="A11" s="43" t="s">
        <v>95</v>
      </c>
      <c r="B11" s="44" t="s">
        <v>96</v>
      </c>
    </row>
    <row r="12" customFormat="false" ht="45" hidden="false" customHeight="true" outlineLevel="0" collapsed="false">
      <c r="A12" s="43" t="s">
        <v>97</v>
      </c>
      <c r="B12" s="44" t="s">
        <v>98</v>
      </c>
    </row>
    <row r="13" customFormat="false" ht="45" hidden="false" customHeight="true" outlineLevel="0" collapsed="false">
      <c r="A13" s="43" t="s">
        <v>99</v>
      </c>
      <c r="B13" s="4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2026-10-14T05:28:19Z</dcterms:created>
  <dc:creator>openpyxl</dc:creator>
  <dc:description/>
  <dc:language>en-US</dc:language>
  <cp:lastModifiedBy/>
  <dcterms:modified xsi:type="dcterms:W3CDTF">2026-10-14T05:28:19Z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